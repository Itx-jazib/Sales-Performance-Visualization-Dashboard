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C:\Users\DELL\Desktop\All Semesters Documents\1st Semester Documents\ICT Practical\Project\"/>
    </mc:Choice>
  </mc:AlternateContent>
  <xr:revisionPtr revIDLastSave="0" documentId="8_{47F7DCD9-F340-4ADF-A7C4-092A3E1FA358}" xr6:coauthVersionLast="47" xr6:coauthVersionMax="47" xr10:uidLastSave="{00000000-0000-0000-0000-000000000000}"/>
  <bookViews>
    <workbookView xWindow="-110" yWindow="-110" windowWidth="19420" windowHeight="10300" activeTab="5" xr2:uid="{00000000-000D-0000-FFFF-FFFF00000000}"/>
  </bookViews>
  <sheets>
    <sheet name="Pivot Table 1" sheetId="4" r:id="rId1"/>
    <sheet name="Pivot Table 2" sheetId="6" r:id="rId2"/>
    <sheet name="Pivot Table 3" sheetId="7" r:id="rId3"/>
    <sheet name="Pivot Table 4" sheetId="8" r:id="rId4"/>
    <sheet name="data" sheetId="1" r:id="rId5"/>
    <sheet name="Dashboard" sheetId="3" r:id="rId6"/>
  </sheets>
  <definedNames>
    <definedName name="Slicer_Date">#N/A</definedName>
    <definedName name="Slicer_Product">#N/A</definedName>
    <definedName name="Slicer_Salesperson">#N/A</definedName>
    <definedName name="Slicer_Store">#N/A</definedName>
  </definedNames>
  <calcPr calcId="0"/>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<sst xmlns="http://schemas.openxmlformats.org/spreadsheetml/2006/main" count="547" uniqueCount="127">
  <si>
    <t>Date</t>
  </si>
  <si>
    <t>Store</t>
  </si>
  <si>
    <t>Salesperson</t>
  </si>
  <si>
    <t>Product</t>
  </si>
  <si>
    <t>Quantity</t>
  </si>
  <si>
    <t>Prices</t>
  </si>
  <si>
    <t>Total Sales</t>
  </si>
  <si>
    <t>1/28/2003</t>
  </si>
  <si>
    <t>Store E</t>
  </si>
  <si>
    <t>John Smith</t>
  </si>
  <si>
    <t>productA</t>
  </si>
  <si>
    <t>9/3/2017</t>
  </si>
  <si>
    <t>Store D</t>
  </si>
  <si>
    <t>productB</t>
  </si>
  <si>
    <t>1/9/2015</t>
  </si>
  <si>
    <t>Emily Johnson</t>
  </si>
  <si>
    <t>8/22/2007</t>
  </si>
  <si>
    <t>Store B</t>
  </si>
  <si>
    <t>David Wilson</t>
  </si>
  <si>
    <t>productD</t>
  </si>
  <si>
    <t>4/4/2013</t>
  </si>
  <si>
    <t>Michael Brown</t>
  </si>
  <si>
    <t>3/5/2001</t>
  </si>
  <si>
    <t>11/19/2013</t>
  </si>
  <si>
    <t>3/9/2006</t>
  </si>
  <si>
    <t>productC</t>
  </si>
  <si>
    <t>10/25/2005</t>
  </si>
  <si>
    <t>6/30/2000</t>
  </si>
  <si>
    <t>Store C</t>
  </si>
  <si>
    <t>9/26/2000</t>
  </si>
  <si>
    <t>10/3/2010</t>
  </si>
  <si>
    <t>5/13/2021</t>
  </si>
  <si>
    <t>Sarah Davis</t>
  </si>
  <si>
    <t>2/3/2019</t>
  </si>
  <si>
    <t>Store A</t>
  </si>
  <si>
    <t>productE</t>
  </si>
  <si>
    <t>7/23/2005</t>
  </si>
  <si>
    <t>2/11/2003</t>
  </si>
  <si>
    <t>8/20/2005</t>
  </si>
  <si>
    <t>7/8/2012</t>
  </si>
  <si>
    <t>1/8/2021</t>
  </si>
  <si>
    <t>4/15/2017</t>
  </si>
  <si>
    <t>7/18/2000</t>
  </si>
  <si>
    <t>3/5/2018</t>
  </si>
  <si>
    <t>7/24/2012</t>
  </si>
  <si>
    <t>3/31/2022</t>
  </si>
  <si>
    <t>11/4/2017</t>
  </si>
  <si>
    <t>4/25/2000</t>
  </si>
  <si>
    <t>2/12/2012</t>
  </si>
  <si>
    <t>5/14/2020</t>
  </si>
  <si>
    <t>4/4/2005</t>
  </si>
  <si>
    <t>1/29/2003</t>
  </si>
  <si>
    <t>2/20/2012</t>
  </si>
  <si>
    <t>6/23/2009</t>
  </si>
  <si>
    <t>12/5/2022</t>
  </si>
  <si>
    <t>10/17/2003</t>
  </si>
  <si>
    <t>12/19/2009</t>
  </si>
  <si>
    <t>2/24/2018</t>
  </si>
  <si>
    <t>8/20/2000</t>
  </si>
  <si>
    <t>12/7/2012</t>
  </si>
  <si>
    <t>11/25/2013</t>
  </si>
  <si>
    <t>2/10/2000</t>
  </si>
  <si>
    <t>7/23/2006</t>
  </si>
  <si>
    <t>12/11/2020</t>
  </si>
  <si>
    <t>7/28/2015</t>
  </si>
  <si>
    <t>2/24/2014</t>
  </si>
  <si>
    <t>1/25/2008</t>
  </si>
  <si>
    <t>6/14/2014</t>
  </si>
  <si>
    <t>3/7/2015</t>
  </si>
  <si>
    <t>2/8/2004</t>
  </si>
  <si>
    <t>1/23/2005</t>
  </si>
  <si>
    <t>1/26/2012</t>
  </si>
  <si>
    <t>9/13/2016</t>
  </si>
  <si>
    <t>5/21/2011</t>
  </si>
  <si>
    <t>9/5/2020</t>
  </si>
  <si>
    <t>4/23/2000</t>
  </si>
  <si>
    <t>11/1/2001</t>
  </si>
  <si>
    <t>8/2/2006</t>
  </si>
  <si>
    <t>4/28/2020</t>
  </si>
  <si>
    <t>12/15/2019</t>
  </si>
  <si>
    <t>7/18/2010</t>
  </si>
  <si>
    <t>4/20/2014</t>
  </si>
  <si>
    <t>6/22/2021</t>
  </si>
  <si>
    <t>2/20/2004</t>
  </si>
  <si>
    <t>12/10/2019</t>
  </si>
  <si>
    <t>6/24/2016</t>
  </si>
  <si>
    <t>12/9/2011</t>
  </si>
  <si>
    <t>12/3/2007</t>
  </si>
  <si>
    <t>1/4/2022</t>
  </si>
  <si>
    <t>8/25/2003</t>
  </si>
  <si>
    <t>11/9/2008</t>
  </si>
  <si>
    <t>8/23/2004</t>
  </si>
  <si>
    <t>6/4/2003</t>
  </si>
  <si>
    <t>2/24/2009</t>
  </si>
  <si>
    <t>9/13/2010</t>
  </si>
  <si>
    <t>2/21/2001</t>
  </si>
  <si>
    <t>1/27/2005</t>
  </si>
  <si>
    <t>5/30/2003</t>
  </si>
  <si>
    <t>2/2/2015</t>
  </si>
  <si>
    <t>9/14/2022</t>
  </si>
  <si>
    <t>10/19/2002</t>
  </si>
  <si>
    <t>1/24/2015</t>
  </si>
  <si>
    <t>12/13/2005</t>
  </si>
  <si>
    <t>2/28/2014</t>
  </si>
  <si>
    <t>8/4/2005</t>
  </si>
  <si>
    <t>6/8/2006</t>
  </si>
  <si>
    <t>5/2/2007</t>
  </si>
  <si>
    <t>6/28/2015</t>
  </si>
  <si>
    <t>3/8/2004</t>
  </si>
  <si>
    <t>11/27/2018</t>
  </si>
  <si>
    <t>2/16/2003</t>
  </si>
  <si>
    <t>5/10/2020</t>
  </si>
  <si>
    <t>4/11/2020</t>
  </si>
  <si>
    <t>11/8/2019</t>
  </si>
  <si>
    <t>9/17/2020</t>
  </si>
  <si>
    <t>5/4/2022</t>
  </si>
  <si>
    <t>4/12/2009</t>
  </si>
  <si>
    <t>7/27/2016</t>
  </si>
  <si>
    <t>2/13/2019</t>
  </si>
  <si>
    <t>5/3/2012</t>
  </si>
  <si>
    <t>5/6/2019</t>
  </si>
  <si>
    <t>Row Labels</t>
  </si>
  <si>
    <t>Grand Total</t>
  </si>
  <si>
    <t>Sum of Total Sales</t>
  </si>
  <si>
    <t>Column Labels</t>
  </si>
  <si>
    <t>Sales by Salespersons &amp; Store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</si>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</sst>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 x14ac:knownFonts="1">
    <font>
      <sz val="11"/>
      <name val="Arial"/>
      <family val="1"/>
    </font>
    <font>
      <b/>
      <sz val="14"/>
      <name val="Arial"/>
      <family val="2"/>
    </font>
    <font>
      <b/>
      <sz val="16"/>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44" fontId="0" fillId="0" borderId="0" xfId="0" applyNumberFormat="1"/>
    <xf numFmtId="0" fontId="1" fillId="0" borderId="0" xfId="0" applyFont="1" applyAlignment="1">
      <alignment horizontal="center"/>
    </xf>
    <xf numFmtId="0" fontId="2"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[Sales-Performance-Visualization Dashboard.xlsx]Pivot Table 1!PivotTable1</c:name>
    <c:fmtId val="3"/>
  </c:pivotSource>
  <c:chart>
    <c:title>
      <c:tx>
        <c:rich>
          <a:bodyPr/>
          <a:lstStyle/>
          <a:p>
            <a:pPr>
              <a:defRPr/>
            </a:pPr>
            <a:r>
              <a:rPr lang="en-US"/>
              <a:t>Total Sales</a:t>
            </a:r>
          </a:p>
        </c:rich>
      </c:tx>
      <c:overlay val="0"/>
    </c:title>
    <c:autoTitleDeleted val="0"/>
    <c:pivotFmts>
      <c:pivotFmt>
        <c:idx val="0"/>
        <c:marker>
          <c:symbol val="none"/>
        </c:marker>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3576946631671042"/>
          <c:y val="0.21795166229221347"/>
          <c:w val="0.75135848643919512"/>
          <c:h val="0.52220290172061823"/>
        </c:manualLayout>
      </c:layout>
      <c:barChart>
        <c:barDir val="col"/>
        <c:grouping val="clustered"/>
        <c:varyColors val="0"/>
        <c:ser>
          <c:idx val="0"/>
          <c:order val="0"/>
          <c:tx>
            <c:strRef>
              <c:f>'Pivot Table 1'!$B$3</c:f>
              <c:strCache>
                <c:ptCount val="1"/>
                <c:pt idx="0">
                  <c:v>Total</c:v>
                </c:pt>
              </c:strCache>
            </c:strRef>
          </c:tx>
          <c:invertIfNegative val="0"/>
          <c:cat>
            <c:strRef>
              <c:f>'Pivot Table 1'!$A$4:$A$103</c:f>
              <c:strCache>
                <c:ptCount val="99"/>
                <c:pt idx="0">
                  <c:v>1/23/2005</c:v>
                </c:pt>
                <c:pt idx="1">
                  <c:v>1/24/2015</c:v>
                </c:pt>
                <c:pt idx="2">
                  <c:v>1/25/2008</c:v>
                </c:pt>
                <c:pt idx="3">
                  <c:v>1/26/2012</c:v>
                </c:pt>
                <c:pt idx="4">
                  <c:v>1/27/2005</c:v>
                </c:pt>
                <c:pt idx="5">
                  <c:v>1/28/2003</c:v>
                </c:pt>
                <c:pt idx="6">
                  <c:v>1/29/2003</c:v>
                </c:pt>
                <c:pt idx="7">
                  <c:v>1/4/2022</c:v>
                </c:pt>
                <c:pt idx="8">
                  <c:v>1/8/2021</c:v>
                </c:pt>
                <c:pt idx="9">
                  <c:v>1/9/2015</c:v>
                </c:pt>
                <c:pt idx="10">
                  <c:v>10/17/2003</c:v>
                </c:pt>
                <c:pt idx="11">
                  <c:v>10/19/2002</c:v>
                </c:pt>
                <c:pt idx="12">
                  <c:v>10/25/2005</c:v>
                </c:pt>
                <c:pt idx="13">
                  <c:v>10/3/2010</c:v>
                </c:pt>
                <c:pt idx="14">
                  <c:v>11/1/2001</c:v>
                </c:pt>
                <c:pt idx="15">
                  <c:v>11/19/2013</c:v>
                </c:pt>
                <c:pt idx="16">
                  <c:v>11/25/2013</c:v>
                </c:pt>
                <c:pt idx="17">
                  <c:v>11/27/2018</c:v>
                </c:pt>
                <c:pt idx="18">
                  <c:v>11/4/2017</c:v>
                </c:pt>
                <c:pt idx="19">
                  <c:v>11/8/2019</c:v>
                </c:pt>
                <c:pt idx="20">
                  <c:v>11/9/2008</c:v>
                </c:pt>
                <c:pt idx="21">
                  <c:v>12/10/2019</c:v>
                </c:pt>
                <c:pt idx="22">
                  <c:v>12/11/2020</c:v>
                </c:pt>
                <c:pt idx="23">
                  <c:v>12/13/2005</c:v>
                </c:pt>
                <c:pt idx="24">
                  <c:v>12/15/2019</c:v>
                </c:pt>
                <c:pt idx="25">
                  <c:v>12/19/2009</c:v>
                </c:pt>
                <c:pt idx="26">
                  <c:v>12/3/2007</c:v>
                </c:pt>
                <c:pt idx="27">
                  <c:v>12/5/2022</c:v>
                </c:pt>
                <c:pt idx="28">
                  <c:v>12/7/2012</c:v>
                </c:pt>
                <c:pt idx="29">
                  <c:v>12/9/2011</c:v>
                </c:pt>
                <c:pt idx="30">
                  <c:v>2/10/2000</c:v>
                </c:pt>
                <c:pt idx="31">
                  <c:v>2/11/2003</c:v>
                </c:pt>
                <c:pt idx="32">
                  <c:v>2/12/2012</c:v>
                </c:pt>
                <c:pt idx="33">
                  <c:v>2/13/2019</c:v>
                </c:pt>
                <c:pt idx="34">
                  <c:v>2/16/2003</c:v>
                </c:pt>
                <c:pt idx="35">
                  <c:v>2/2/2015</c:v>
                </c:pt>
                <c:pt idx="36">
                  <c:v>2/20/2004</c:v>
                </c:pt>
                <c:pt idx="37">
                  <c:v>2/20/2012</c:v>
                </c:pt>
                <c:pt idx="38">
                  <c:v>2/21/2001</c:v>
                </c:pt>
                <c:pt idx="39">
                  <c:v>2/24/2009</c:v>
                </c:pt>
                <c:pt idx="40">
                  <c:v>2/24/2014</c:v>
                </c:pt>
                <c:pt idx="41">
                  <c:v>2/24/2018</c:v>
                </c:pt>
                <c:pt idx="42">
                  <c:v>2/28/2014</c:v>
                </c:pt>
                <c:pt idx="43">
                  <c:v>2/3/2019</c:v>
                </c:pt>
                <c:pt idx="44">
                  <c:v>2/8/2004</c:v>
                </c:pt>
                <c:pt idx="45">
                  <c:v>3/31/2022</c:v>
                </c:pt>
                <c:pt idx="46">
                  <c:v>3/5/2001</c:v>
                </c:pt>
                <c:pt idx="47">
                  <c:v>3/5/2018</c:v>
                </c:pt>
                <c:pt idx="48">
                  <c:v>3/7/2015</c:v>
                </c:pt>
                <c:pt idx="49">
                  <c:v>3/8/2004</c:v>
                </c:pt>
                <c:pt idx="50">
                  <c:v>3/9/2006</c:v>
                </c:pt>
                <c:pt idx="51">
                  <c:v>4/11/2020</c:v>
                </c:pt>
                <c:pt idx="52">
                  <c:v>4/12/2009</c:v>
                </c:pt>
                <c:pt idx="53">
                  <c:v>4/15/2017</c:v>
                </c:pt>
                <c:pt idx="54">
                  <c:v>4/20/2014</c:v>
                </c:pt>
                <c:pt idx="55">
                  <c:v>4/23/2000</c:v>
                </c:pt>
                <c:pt idx="56">
                  <c:v>4/25/2000</c:v>
                </c:pt>
                <c:pt idx="57">
                  <c:v>4/28/2020</c:v>
                </c:pt>
                <c:pt idx="58">
                  <c:v>4/4/2005</c:v>
                </c:pt>
                <c:pt idx="59">
                  <c:v>4/4/2013</c:v>
                </c:pt>
                <c:pt idx="60">
                  <c:v>5/10/2020</c:v>
                </c:pt>
                <c:pt idx="61">
                  <c:v>5/13/2021</c:v>
                </c:pt>
                <c:pt idx="62">
                  <c:v>5/14/2020</c:v>
                </c:pt>
                <c:pt idx="63">
                  <c:v>5/2/2007</c:v>
                </c:pt>
                <c:pt idx="64">
                  <c:v>5/21/2011</c:v>
                </c:pt>
                <c:pt idx="65">
                  <c:v>5/3/2012</c:v>
                </c:pt>
                <c:pt idx="66">
                  <c:v>5/30/2003</c:v>
                </c:pt>
                <c:pt idx="67">
                  <c:v>5/4/2022</c:v>
                </c:pt>
                <c:pt idx="68">
                  <c:v>5/6/2019</c:v>
                </c:pt>
                <c:pt idx="69">
                  <c:v>6/14/2014</c:v>
                </c:pt>
                <c:pt idx="70">
                  <c:v>6/22/2021</c:v>
                </c:pt>
                <c:pt idx="71">
                  <c:v>6/23/2009</c:v>
                </c:pt>
                <c:pt idx="72">
                  <c:v>6/24/2016</c:v>
                </c:pt>
                <c:pt idx="73">
                  <c:v>6/28/2015</c:v>
                </c:pt>
                <c:pt idx="74">
                  <c:v>6/30/2000</c:v>
                </c:pt>
                <c:pt idx="75">
                  <c:v>6/4/2003</c:v>
                </c:pt>
                <c:pt idx="76">
                  <c:v>6/8/2006</c:v>
                </c:pt>
                <c:pt idx="77">
                  <c:v>7/18/2000</c:v>
                </c:pt>
                <c:pt idx="78">
                  <c:v>7/18/2010</c:v>
                </c:pt>
                <c:pt idx="79">
                  <c:v>7/23/2005</c:v>
                </c:pt>
                <c:pt idx="80">
                  <c:v>7/23/2006</c:v>
                </c:pt>
                <c:pt idx="81">
                  <c:v>7/24/2012</c:v>
                </c:pt>
                <c:pt idx="82">
                  <c:v>7/27/2016</c:v>
                </c:pt>
                <c:pt idx="83">
                  <c:v>7/28/2015</c:v>
                </c:pt>
                <c:pt idx="84">
                  <c:v>7/8/2012</c:v>
                </c:pt>
                <c:pt idx="85">
                  <c:v>8/2/2006</c:v>
                </c:pt>
                <c:pt idx="86">
                  <c:v>8/20/2000</c:v>
                </c:pt>
                <c:pt idx="87">
                  <c:v>8/20/2005</c:v>
                </c:pt>
                <c:pt idx="88">
                  <c:v>8/22/2007</c:v>
                </c:pt>
                <c:pt idx="89">
                  <c:v>8/23/2004</c:v>
                </c:pt>
                <c:pt idx="90">
                  <c:v>8/25/2003</c:v>
                </c:pt>
                <c:pt idx="91">
                  <c:v>8/4/2005</c:v>
                </c:pt>
                <c:pt idx="92">
                  <c:v>9/13/2010</c:v>
                </c:pt>
                <c:pt idx="93">
                  <c:v>9/13/2016</c:v>
                </c:pt>
                <c:pt idx="94">
                  <c:v>9/14/2022</c:v>
                </c:pt>
                <c:pt idx="95">
                  <c:v>9/17/2020</c:v>
                </c:pt>
                <c:pt idx="96">
                  <c:v>9/26/2000</c:v>
                </c:pt>
                <c:pt idx="97">
                  <c:v>9/3/2017</c:v>
                </c:pt>
                <c:pt idx="98">
                  <c:v>9/5/2020</c:v>
                </c:pt>
              </c:strCache>
            </c:strRef>
          </c:cat>
          <c:val>
            <c:numRef>
              <c:f>'Pivot Table 1'!$B$4:$B$103</c:f>
              <c:numCache>
                <c:formatCode>_("$"* #,##0.00_);_("$"* \(#,##0.00\);_("$"* "-"??_);_(@_)</c:formatCode>
                <c:ptCount val="99"/>
                <c:pt idx="0">
                  <c:v>895232.7</c:v>
                </c:pt>
                <c:pt idx="1">
                  <c:v>285495.78000000003</c:v>
                </c:pt>
                <c:pt idx="2">
                  <c:v>639777.77</c:v>
                </c:pt>
                <c:pt idx="3">
                  <c:v>52413.16</c:v>
                </c:pt>
                <c:pt idx="4">
                  <c:v>567469.55000000005</c:v>
                </c:pt>
                <c:pt idx="5">
                  <c:v>627758.81999999995</c:v>
                </c:pt>
                <c:pt idx="6">
                  <c:v>605465.56000000006</c:v>
                </c:pt>
                <c:pt idx="7">
                  <c:v>823039.91</c:v>
                </c:pt>
                <c:pt idx="8">
                  <c:v>710898.87</c:v>
                </c:pt>
                <c:pt idx="9">
                  <c:v>235519.59</c:v>
                </c:pt>
                <c:pt idx="10">
                  <c:v>449800.86</c:v>
                </c:pt>
                <c:pt idx="11">
                  <c:v>146387.65</c:v>
                </c:pt>
                <c:pt idx="12">
                  <c:v>681017.14</c:v>
                </c:pt>
                <c:pt idx="13">
                  <c:v>8524.67</c:v>
                </c:pt>
                <c:pt idx="14">
                  <c:v>999296.57</c:v>
                </c:pt>
                <c:pt idx="15">
                  <c:v>907926.7</c:v>
                </c:pt>
                <c:pt idx="16">
                  <c:v>440468.37</c:v>
                </c:pt>
                <c:pt idx="17">
                  <c:v>299541.84999999998</c:v>
                </c:pt>
                <c:pt idx="18">
                  <c:v>478010.39</c:v>
                </c:pt>
                <c:pt idx="19">
                  <c:v>1605.16</c:v>
                </c:pt>
                <c:pt idx="20">
                  <c:v>148816.20000000001</c:v>
                </c:pt>
                <c:pt idx="21">
                  <c:v>895738.94</c:v>
                </c:pt>
                <c:pt idx="22">
                  <c:v>520508.46</c:v>
                </c:pt>
                <c:pt idx="23">
                  <c:v>197715.93</c:v>
                </c:pt>
                <c:pt idx="24">
                  <c:v>113177.34</c:v>
                </c:pt>
                <c:pt idx="25">
                  <c:v>746579.49</c:v>
                </c:pt>
                <c:pt idx="26">
                  <c:v>827659.33</c:v>
                </c:pt>
                <c:pt idx="27">
                  <c:v>407083.31</c:v>
                </c:pt>
                <c:pt idx="28">
                  <c:v>565504.94999999995</c:v>
                </c:pt>
                <c:pt idx="29">
                  <c:v>970167.22</c:v>
                </c:pt>
                <c:pt idx="30">
                  <c:v>368711.57</c:v>
                </c:pt>
                <c:pt idx="31">
                  <c:v>409421.93</c:v>
                </c:pt>
                <c:pt idx="32">
                  <c:v>727343.54</c:v>
                </c:pt>
                <c:pt idx="33">
                  <c:v>342659.15</c:v>
                </c:pt>
                <c:pt idx="34">
                  <c:v>699963.74</c:v>
                </c:pt>
                <c:pt idx="35">
                  <c:v>358555.26</c:v>
                </c:pt>
                <c:pt idx="36">
                  <c:v>827262.41</c:v>
                </c:pt>
                <c:pt idx="37">
                  <c:v>924683.68</c:v>
                </c:pt>
                <c:pt idx="38">
                  <c:v>917910.55</c:v>
                </c:pt>
                <c:pt idx="39">
                  <c:v>393323.53</c:v>
                </c:pt>
                <c:pt idx="40">
                  <c:v>880938.96</c:v>
                </c:pt>
                <c:pt idx="41">
                  <c:v>598370.22</c:v>
                </c:pt>
                <c:pt idx="42">
                  <c:v>894777.59</c:v>
                </c:pt>
                <c:pt idx="43">
                  <c:v>569295.52</c:v>
                </c:pt>
                <c:pt idx="44">
                  <c:v>551576.93000000005</c:v>
                </c:pt>
                <c:pt idx="45">
                  <c:v>2898.92</c:v>
                </c:pt>
                <c:pt idx="46">
                  <c:v>723073.36</c:v>
                </c:pt>
                <c:pt idx="47">
                  <c:v>884483.82</c:v>
                </c:pt>
                <c:pt idx="48">
                  <c:v>617727.68999999994</c:v>
                </c:pt>
                <c:pt idx="49">
                  <c:v>271341.65000000002</c:v>
                </c:pt>
                <c:pt idx="50">
                  <c:v>96291.12</c:v>
                </c:pt>
                <c:pt idx="51">
                  <c:v>982257.62</c:v>
                </c:pt>
                <c:pt idx="52">
                  <c:v>662704.18999999994</c:v>
                </c:pt>
                <c:pt idx="53">
                  <c:v>371247.33</c:v>
                </c:pt>
                <c:pt idx="54">
                  <c:v>495025.94</c:v>
                </c:pt>
                <c:pt idx="55">
                  <c:v>57238.69</c:v>
                </c:pt>
                <c:pt idx="56">
                  <c:v>372117.06</c:v>
                </c:pt>
                <c:pt idx="57">
                  <c:v>698761.62</c:v>
                </c:pt>
                <c:pt idx="58">
                  <c:v>416650.74</c:v>
                </c:pt>
                <c:pt idx="59">
                  <c:v>319098.27</c:v>
                </c:pt>
                <c:pt idx="60">
                  <c:v>100756.01</c:v>
                </c:pt>
                <c:pt idx="61">
                  <c:v>165274.94</c:v>
                </c:pt>
                <c:pt idx="62">
                  <c:v>468209.59</c:v>
                </c:pt>
                <c:pt idx="63">
                  <c:v>974017.79</c:v>
                </c:pt>
                <c:pt idx="64">
                  <c:v>446184.8</c:v>
                </c:pt>
                <c:pt idx="65">
                  <c:v>748758.65</c:v>
                </c:pt>
                <c:pt idx="66">
                  <c:v>685621.49</c:v>
                </c:pt>
                <c:pt idx="67">
                  <c:v>392279.89</c:v>
                </c:pt>
                <c:pt idx="68">
                  <c:v>62711.43</c:v>
                </c:pt>
                <c:pt idx="69">
                  <c:v>432409.76</c:v>
                </c:pt>
                <c:pt idx="70">
                  <c:v>741443.56</c:v>
                </c:pt>
                <c:pt idx="71">
                  <c:v>913102.28</c:v>
                </c:pt>
                <c:pt idx="72">
                  <c:v>797689.03</c:v>
                </c:pt>
                <c:pt idx="73">
                  <c:v>305291.75</c:v>
                </c:pt>
                <c:pt idx="74">
                  <c:v>366739.82</c:v>
                </c:pt>
                <c:pt idx="75">
                  <c:v>430244.69</c:v>
                </c:pt>
                <c:pt idx="76">
                  <c:v>383697.86</c:v>
                </c:pt>
                <c:pt idx="77">
                  <c:v>316893.15000000002</c:v>
                </c:pt>
                <c:pt idx="78">
                  <c:v>963658.45</c:v>
                </c:pt>
                <c:pt idx="79">
                  <c:v>102257.87</c:v>
                </c:pt>
                <c:pt idx="80">
                  <c:v>733044.02</c:v>
                </c:pt>
                <c:pt idx="81">
                  <c:v>659643.06000000006</c:v>
                </c:pt>
                <c:pt idx="82">
                  <c:v>971463.6</c:v>
                </c:pt>
                <c:pt idx="83">
                  <c:v>657531.4</c:v>
                </c:pt>
                <c:pt idx="84">
                  <c:v>517034.66</c:v>
                </c:pt>
                <c:pt idx="85">
                  <c:v>432714.06</c:v>
                </c:pt>
                <c:pt idx="86">
                  <c:v>359099.47</c:v>
                </c:pt>
                <c:pt idx="87">
                  <c:v>231149.32</c:v>
                </c:pt>
                <c:pt idx="88">
                  <c:v>459415.66</c:v>
                </c:pt>
                <c:pt idx="89">
                  <c:v>70705.45</c:v>
                </c:pt>
                <c:pt idx="90">
                  <c:v>782886.07</c:v>
                </c:pt>
                <c:pt idx="91">
                  <c:v>6959.24</c:v>
                </c:pt>
                <c:pt idx="92">
                  <c:v>26790.52</c:v>
                </c:pt>
                <c:pt idx="93">
                  <c:v>229147.63</c:v>
                </c:pt>
                <c:pt idx="94">
                  <c:v>113990.23</c:v>
                </c:pt>
                <c:pt idx="95">
                  <c:v>165632.13</c:v>
                </c:pt>
                <c:pt idx="96">
                  <c:v>410063.99</c:v>
                </c:pt>
                <c:pt idx="97">
                  <c:v>675580.2</c:v>
                </c:pt>
                <c:pt idx="98">
                  <c:v>81170.22</c:v>
                </c:pt>
              </c:numCache>
            </c:numRef>
          </c:val>
          <c:extLst>
            <c:ext xmlns:c16="http://schemas.microsoft.com/office/drawing/2014/chart" uri="{C3380CC4-5D6E-409C-BE32-E72D297353CC}">
              <c16:uniqueId val="{00000000-F7B9-4D7D-80F8-1292FE7C936E}"/>
            </c:ext>
          </c:extLst>
        </c:ser>
        <c:dLbls>
          <c:showLegendKey val="0"/>
          <c:showVal val="0"/>
          <c:showCatName val="0"/>
          <c:showSerName val="0"/>
          <c:showPercent val="0"/>
          <c:showBubbleSize val="0"/>
        </c:dLbls>
        <c:gapWidth val="150"/>
        <c:axId val="210609280"/>
        <c:axId val="210610816"/>
      </c:barChart>
      <c:catAx>
        <c:axId val="210609280"/>
        <c:scaling>
          <c:orientation val="minMax"/>
        </c:scaling>
        <c:delete val="0"/>
        <c:axPos val="b"/>
        <c:numFmt formatCode="General" sourceLinked="0"/>
        <c:majorTickMark val="out"/>
        <c:minorTickMark val="none"/>
        <c:tickLblPos val="nextTo"/>
        <c:crossAx val="210610816"/>
        <c:crosses val="autoZero"/>
        <c:auto val="1"/>
        <c:lblAlgn val="ctr"/>
        <c:lblOffset val="100"/>
        <c:noMultiLvlLbl val="0"/>
      </c:catAx>
      <c:valAx>
        <c:axId val="210610816"/>
        <c:scaling>
          <c:orientation val="minMax"/>
        </c:scaling>
        <c:delete val="0"/>
        <c:axPos val="l"/>
        <c:majorGridlines/>
        <c:numFmt formatCode="_(&quot;$&quot;* #,##0.00_);_(&quot;$&quot;* \(#,##0.00\);_(&quot;$&quot;* &quot;-&quot;??_);_(@_)" sourceLinked="1"/>
        <c:majorTickMark val="out"/>
        <c:minorTickMark val="none"/>
        <c:tickLblPos val="nextTo"/>
        <c:crossAx val="210609280"/>
        <c:crosses val="autoZero"/>
        <c:crossBetween val="between"/>
      </c:valAx>
    </c:plotArea>
    <c:plotVisOnly val="1"/>
    <c:dispBlanksAs val="gap"/>
    <c:showDLblsOverMax val="0"/>
  </c:chart>
  <c:spPr>
    <a:solidFill>
      <a:schemeClr val="lt1"/>
    </a:solidFill>
    <a:ln w="25400" cap="flat" cmpd="sng" algn="ctr">
      <a:no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[Sales-Performance-Visualization Dashboard.xlsx]Pivot Table 2!PivotTable2</c:name>
    <c:fmtId val="2"/>
  </c:pivotSource>
  <c:chart>
    <c:title>
      <c:tx>
        <c:rich>
          <a:bodyPr/>
          <a:lstStyle/>
          <a:p>
            <a:pPr>
              <a:defRPr/>
            </a:pPr>
            <a:r>
              <a:rPr lang="en-US"/>
              <a:t>Sales</a:t>
            </a:r>
            <a:r>
              <a:rPr lang="en-US" baseline="0"/>
              <a:t> by Product</a:t>
            </a:r>
            <a:endParaRPr lang="en-US"/>
          </a:p>
        </c:rich>
      </c:tx>
      <c:layout>
        <c:manualLayout>
          <c:xMode val="edge"/>
          <c:yMode val="edge"/>
          <c:x val="0.34697922134733156"/>
          <c:y val="3.7037037037037035E-2"/>
        </c:manualLayout>
      </c:layout>
      <c:overlay val="0"/>
    </c:title>
    <c:autoTitleDeleted val="0"/>
    <c:pivotFmts>
      <c:pivotFmt>
        <c:idx val="0"/>
        <c:marker>
          <c:symbol val="none"/>
        </c:marker>
      </c:pivotFmt>
      <c:pivotFmt>
        <c:idx val="1"/>
        <c:marker>
          <c:symbol val="none"/>
        </c:marker>
      </c:pivotFmt>
      <c:pivotFmt>
        <c:idx val="2"/>
        <c:marker>
          <c:symbol val="none"/>
        </c:marker>
        <c:dLbl>
          <c:idx val="0"/>
          <c:spPr/>
          <c:txPr>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rAngAx val="0"/>
    </c:view3D>
    <c:floor>
      <c:thickness val="0"/>
    </c:floor>
    <c:sideWall>
      <c:thickness val="0"/>
    </c:sideWall>
    <c:backWall>
      <c:thickness val="0"/>
    </c:backWall>
    <c:plotArea>
      <c:layout/>
      <c:pie3DChart>
        <c:varyColors val="1"/>
        <c:ser>
          <c:idx val="0"/>
          <c:order val="0"/>
          <c:tx>
            <c:strRef>
              <c:f>'Pivot Table 2'!$B$3</c:f>
              <c:strCache>
                <c:ptCount val="1"/>
                <c:pt idx="0">
                  <c:v>Total</c:v>
                </c:pt>
              </c:strCache>
            </c:strRef>
          </c:tx>
          <c:dLbls>
            <c:spPr/>
            <c:txPr>
              <a:bodyPr/>
              <a:lstStyle/>
              <a:p>
                <a:pPr>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'Pivot Table 2'!$A$4:$A$9</c:f>
              <c:strCache>
                <c:ptCount val="5"/>
                <c:pt idx="0">
                  <c:v>productA</c:v>
                </c:pt>
                <c:pt idx="1">
                  <c:v>productB</c:v>
                </c:pt>
                <c:pt idx="2">
                  <c:v>productC</c:v>
                </c:pt>
                <c:pt idx="3">
                  <c:v>productD</c:v>
                </c:pt>
                <c:pt idx="4">
                  <c:v>productE</c:v>
                </c:pt>
              </c:strCache>
            </c:strRef>
          </c:cat>
          <c:val>
            <c:numRef>
              <c:f>'Pivot Table 2'!$B$4:$B$9</c:f>
              <c:numCache>
                <c:formatCode>_("$"* #,##0.00_);_("$"* \(#,##0.00\);_("$"* "-"??_);_(@_)</c:formatCode>
                <c:ptCount val="5"/>
                <c:pt idx="0">
                  <c:v>10191130.810000002</c:v>
                </c:pt>
                <c:pt idx="1">
                  <c:v>9365384.5700000003</c:v>
                </c:pt>
                <c:pt idx="2">
                  <c:v>9474108.7599999998</c:v>
                </c:pt>
                <c:pt idx="3">
                  <c:v>12490006.869999999</c:v>
                </c:pt>
                <c:pt idx="4">
                  <c:v>7544947.5699999994</c:v>
                </c:pt>
              </c:numCache>
            </c:numRef>
          </c:val>
          <c:extLst>
            <c:ext xmlns:c16="http://schemas.microsoft.com/office/drawing/2014/chart" uri="{C3380CC4-5D6E-409C-BE32-E72D297353CC}">
              <c16:uniqueId val="{00000000-0A9E-4AB2-A119-D261C79B4B9C}"/>
            </c:ext>
          </c:extLst>
        </c:ser>
        <c:dLbls>
          <c:showLegendKey val="0"/>
          <c:showVal val="0"/>
          <c:showCatName val="0"/>
          <c:showSerName val="0"/>
          <c:showPercent val="0"/>
          <c:showBubbleSize val="0"/>
          <c:showLeaderLines val="1"/>
        </c:dLbls>
      </c:pie3DChart>
    </c:plotArea>
    <c:legend>
      <c:legendPos val="r"/>
      <c:overlay val="0"/>
    </c:legend>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[Sales-Performance-Visualization Dashboard.xlsx]Pivot Table 3!PivotTable3</c:name>
    <c:fmtId val="2"/>
  </c:pivotSource>
  <c:chart>
    <c:title>
      <c:tx>
        <c:rich>
          <a:bodyPr/>
          <a:lstStyle/>
          <a:p>
            <a:pPr>
              <a:defRPr/>
            </a:pPr>
            <a:r>
              <a:rPr lang="en-US"/>
              <a:t>Sales by Store</a:t>
            </a:r>
          </a:p>
        </c:rich>
      </c:tx>
      <c:overlay val="0"/>
    </c:title>
    <c:autoTitleDeleted val="0"/>
    <c:pivotFmts>
      <c:pivotFmt>
        <c:idx val="0"/>
      </c:pivotFmt>
      <c:pivotFmt>
        <c:idx val="1"/>
      </c:pivotFmt>
      <c:pivotFmt>
        <c:idx val="2"/>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815201405609423"/>
          <c:y val="0.23635558868750872"/>
          <c:w val="0.69993882996030454"/>
          <c:h val="0.59377761870675261"/>
        </c:manualLayout>
      </c:layout>
      <c:barChart>
        <c:barDir val="bar"/>
        <c:grouping val="clustered"/>
        <c:varyColors val="0"/>
        <c:ser>
          <c:idx val="0"/>
          <c:order val="0"/>
          <c:tx>
            <c:strRef>
              <c:f>'Pivot Table 3'!$B$3</c:f>
              <c:strCache>
                <c:ptCount val="1"/>
                <c:pt idx="0">
                  <c:v>Total</c:v>
                </c:pt>
              </c:strCache>
            </c:strRef>
          </c:tx>
          <c:invertIfNegative val="0"/>
          <c:cat>
            <c:strRef>
              <c:f>'Pivot Table 3'!$A$4:$A$9</c:f>
              <c:strCache>
                <c:ptCount val="5"/>
                <c:pt idx="0">
                  <c:v>Store A</c:v>
                </c:pt>
                <c:pt idx="1">
                  <c:v>Store B</c:v>
                </c:pt>
                <c:pt idx="2">
                  <c:v>Store C</c:v>
                </c:pt>
                <c:pt idx="3">
                  <c:v>Store D</c:v>
                </c:pt>
                <c:pt idx="4">
                  <c:v>Store E</c:v>
                </c:pt>
              </c:strCache>
            </c:strRef>
          </c:cat>
          <c:val>
            <c:numRef>
              <c:f>'Pivot Table 3'!$B$4:$B$9</c:f>
              <c:numCache>
                <c:formatCode>_("$"* #,##0.00_);_("$"* \(#,##0.00\);_("$"* "-"??_);_(@_)</c:formatCode>
                <c:ptCount val="5"/>
                <c:pt idx="0">
                  <c:v>10731896.469999999</c:v>
                </c:pt>
                <c:pt idx="1">
                  <c:v>11938896.440000001</c:v>
                </c:pt>
                <c:pt idx="2">
                  <c:v>8372323.9800000004</c:v>
                </c:pt>
                <c:pt idx="3">
                  <c:v>9101148.1499999985</c:v>
                </c:pt>
                <c:pt idx="4">
                  <c:v>8921313.5400000028</c:v>
                </c:pt>
              </c:numCache>
            </c:numRef>
          </c:val>
          <c:extLst>
            <c:ext xmlns:c16="http://schemas.microsoft.com/office/drawing/2014/chart" uri="{C3380CC4-5D6E-409C-BE32-E72D297353CC}">
              <c16:uniqueId val="{00000000-7A05-487A-BC88-FCAD2FD4DD02}"/>
            </c:ext>
          </c:extLst>
        </c:ser>
        <c:dLbls>
          <c:showLegendKey val="0"/>
          <c:showVal val="0"/>
          <c:showCatName val="0"/>
          <c:showSerName val="0"/>
          <c:showPercent val="0"/>
          <c:showBubbleSize val="0"/>
        </c:dLbls>
        <c:gapWidth val="50"/>
        <c:axId val="211588608"/>
        <c:axId val="211590144"/>
      </c:barChart>
      <c:catAx>
        <c:axId val="211588608"/>
        <c:scaling>
          <c:orientation val="minMax"/>
        </c:scaling>
        <c:delete val="0"/>
        <c:axPos val="l"/>
        <c:numFmt formatCode="General" sourceLinked="0"/>
        <c:majorTickMark val="out"/>
        <c:minorTickMark val="none"/>
        <c:tickLblPos val="nextTo"/>
        <c:crossAx val="211590144"/>
        <c:crosses val="autoZero"/>
        <c:auto val="1"/>
        <c:lblAlgn val="ctr"/>
        <c:lblOffset val="100"/>
        <c:noMultiLvlLbl val="0"/>
      </c:catAx>
      <c:valAx>
        <c:axId val="211590144"/>
        <c:scaling>
          <c:orientation val="minMax"/>
        </c:scaling>
        <c:delete val="0"/>
        <c:axPos val="b"/>
        <c:majorGridlines/>
        <c:numFmt formatCode="_(&quot;$&quot;* #,##0.00_);_(&quot;$&quot;* \(#,##0.00\);_(&quot;$&quot;* &quot;-&quot;??_);_(@_)" sourceLinked="1"/>
        <c:majorTickMark val="out"/>
        <c:minorTickMark val="none"/>
        <c:tickLblPos val="nextTo"/>
        <c:crossAx val="211588608"/>
        <c:crosses val="autoZero"/>
        <c:crossBetween val="between"/>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[Sales-Performance-Visualization Dashboard.xlsx]Pivot Table 4!PivotTable1</c:name>
    <c:fmtId val="2"/>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4050262467191602"/>
          <c:y val="7.038428210827713E-2"/>
          <c:w val="0.50327580927384075"/>
          <c:h val="0.8326195683872849"/>
        </c:manualLayout>
      </c:layout>
      <c:barChart>
        <c:barDir val="col"/>
        <c:grouping val="stacked"/>
        <c:varyColors val="0"/>
        <c:ser>
          <c:idx val="0"/>
          <c:order val="0"/>
          <c:tx>
            <c:strRef>
              <c:f>'Pivot Table 4'!$B$3:$B$4</c:f>
              <c:strCache>
                <c:ptCount val="1"/>
                <c:pt idx="0">
                  <c:v>David Wilson</c:v>
                </c:pt>
              </c:strCache>
            </c:strRef>
          </c:tx>
          <c:invertIfNegative val="0"/>
          <c:cat>
            <c:strRef>
              <c:f>'Pivot Table 4'!$A$5:$A$10</c:f>
              <c:strCache>
                <c:ptCount val="5"/>
                <c:pt idx="0">
                  <c:v>Store A</c:v>
                </c:pt>
                <c:pt idx="1">
                  <c:v>Store B</c:v>
                </c:pt>
                <c:pt idx="2">
                  <c:v>Store C</c:v>
                </c:pt>
                <c:pt idx="3">
                  <c:v>Store D</c:v>
                </c:pt>
                <c:pt idx="4">
                  <c:v>Store E</c:v>
                </c:pt>
              </c:strCache>
            </c:strRef>
          </c:cat>
          <c:val>
            <c:numRef>
              <c:f>'Pivot Table 4'!$B$5:$B$10</c:f>
              <c:numCache>
                <c:formatCode>_("$"* #,##0.00_);_("$"* \(#,##0.00\);_("$"* "-"??_);_(@_)</c:formatCode>
                <c:ptCount val="5"/>
                <c:pt idx="0">
                  <c:v>1986823.75</c:v>
                </c:pt>
                <c:pt idx="1">
                  <c:v>2104669.75</c:v>
                </c:pt>
                <c:pt idx="2">
                  <c:v>1897867.82</c:v>
                </c:pt>
                <c:pt idx="3">
                  <c:v>2139282.5099999998</c:v>
                </c:pt>
                <c:pt idx="4">
                  <c:v>2097606.9699999997</c:v>
                </c:pt>
              </c:numCache>
            </c:numRef>
          </c:val>
          <c:extLst>
            <c:ext xmlns:c16="http://schemas.microsoft.com/office/drawing/2014/chart" uri="{C3380CC4-5D6E-409C-BE32-E72D297353CC}">
              <c16:uniqueId val="{00000000-2F2C-4ADB-808D-F6E625D8ECF2}"/>
            </c:ext>
          </c:extLst>
        </c:ser>
        <c:ser>
          <c:idx val="1"/>
          <c:order val="1"/>
          <c:tx>
            <c:strRef>
              <c:f>'Pivot Table 4'!$C$3:$C$4</c:f>
              <c:strCache>
                <c:ptCount val="1"/>
                <c:pt idx="0">
                  <c:v>Emily Johnson</c:v>
                </c:pt>
              </c:strCache>
            </c:strRef>
          </c:tx>
          <c:invertIfNegative val="0"/>
          <c:cat>
            <c:strRef>
              <c:f>'Pivot Table 4'!$A$5:$A$10</c:f>
              <c:strCache>
                <c:ptCount val="5"/>
                <c:pt idx="0">
                  <c:v>Store A</c:v>
                </c:pt>
                <c:pt idx="1">
                  <c:v>Store B</c:v>
                </c:pt>
                <c:pt idx="2">
                  <c:v>Store C</c:v>
                </c:pt>
                <c:pt idx="3">
                  <c:v>Store D</c:v>
                </c:pt>
                <c:pt idx="4">
                  <c:v>Store E</c:v>
                </c:pt>
              </c:strCache>
            </c:strRef>
          </c:cat>
          <c:val>
            <c:numRef>
              <c:f>'Pivot Table 4'!$C$5:$C$10</c:f>
              <c:numCache>
                <c:formatCode>_("$"* #,##0.00_);_("$"* \(#,##0.00\);_("$"* "-"??_);_(@_)</c:formatCode>
                <c:ptCount val="5"/>
                <c:pt idx="0">
                  <c:v>908677.96</c:v>
                </c:pt>
                <c:pt idx="1">
                  <c:v>2088481.7000000002</c:v>
                </c:pt>
                <c:pt idx="2">
                  <c:v>551576.93000000005</c:v>
                </c:pt>
                <c:pt idx="3">
                  <c:v>1929409.47</c:v>
                </c:pt>
                <c:pt idx="4">
                  <c:v>902193.27</c:v>
                </c:pt>
              </c:numCache>
            </c:numRef>
          </c:val>
          <c:extLst>
            <c:ext xmlns:c16="http://schemas.microsoft.com/office/drawing/2014/chart" uri="{C3380CC4-5D6E-409C-BE32-E72D297353CC}">
              <c16:uniqueId val="{00000001-2F2C-4ADB-808D-F6E625D8ECF2}"/>
            </c:ext>
          </c:extLst>
        </c:ser>
        <c:ser>
          <c:idx val="2"/>
          <c:order val="2"/>
          <c:tx>
            <c:strRef>
              <c:f>'Pivot Table 4'!$D$3:$D$4</c:f>
              <c:strCache>
                <c:ptCount val="1"/>
                <c:pt idx="0">
                  <c:v>John Smith</c:v>
                </c:pt>
              </c:strCache>
            </c:strRef>
          </c:tx>
          <c:invertIfNegative val="0"/>
          <c:cat>
            <c:strRef>
              <c:f>'Pivot Table 4'!$A$5:$A$10</c:f>
              <c:strCache>
                <c:ptCount val="5"/>
                <c:pt idx="0">
                  <c:v>Store A</c:v>
                </c:pt>
                <c:pt idx="1">
                  <c:v>Store B</c:v>
                </c:pt>
                <c:pt idx="2">
                  <c:v>Store C</c:v>
                </c:pt>
                <c:pt idx="3">
                  <c:v>Store D</c:v>
                </c:pt>
                <c:pt idx="4">
                  <c:v>Store E</c:v>
                </c:pt>
              </c:strCache>
            </c:strRef>
          </c:cat>
          <c:val>
            <c:numRef>
              <c:f>'Pivot Table 4'!$D$5:$D$10</c:f>
              <c:numCache>
                <c:formatCode>_("$"* #,##0.00_);_("$"* \(#,##0.00\);_("$"* "-"??_);_(@_)</c:formatCode>
                <c:ptCount val="5"/>
                <c:pt idx="0">
                  <c:v>1912275.8399999999</c:v>
                </c:pt>
                <c:pt idx="1">
                  <c:v>3330487.07</c:v>
                </c:pt>
                <c:pt idx="2">
                  <c:v>3259087.65</c:v>
                </c:pt>
                <c:pt idx="3">
                  <c:v>1467003.54</c:v>
                </c:pt>
                <c:pt idx="4">
                  <c:v>1034842.1299999999</c:v>
                </c:pt>
              </c:numCache>
            </c:numRef>
          </c:val>
          <c:extLst>
            <c:ext xmlns:c16="http://schemas.microsoft.com/office/drawing/2014/chart" uri="{C3380CC4-5D6E-409C-BE32-E72D297353CC}">
              <c16:uniqueId val="{00000002-2F2C-4ADB-808D-F6E625D8ECF2}"/>
            </c:ext>
          </c:extLst>
        </c:ser>
        <c:ser>
          <c:idx val="3"/>
          <c:order val="3"/>
          <c:tx>
            <c:strRef>
              <c:f>'Pivot Table 4'!$E$3:$E$4</c:f>
              <c:strCache>
                <c:ptCount val="1"/>
                <c:pt idx="0">
                  <c:v>Michael Brown</c:v>
                </c:pt>
              </c:strCache>
            </c:strRef>
          </c:tx>
          <c:invertIfNegative val="0"/>
          <c:cat>
            <c:strRef>
              <c:f>'Pivot Table 4'!$A$5:$A$10</c:f>
              <c:strCache>
                <c:ptCount val="5"/>
                <c:pt idx="0">
                  <c:v>Store A</c:v>
                </c:pt>
                <c:pt idx="1">
                  <c:v>Store B</c:v>
                </c:pt>
                <c:pt idx="2">
                  <c:v>Store C</c:v>
                </c:pt>
                <c:pt idx="3">
                  <c:v>Store D</c:v>
                </c:pt>
                <c:pt idx="4">
                  <c:v>Store E</c:v>
                </c:pt>
              </c:strCache>
            </c:strRef>
          </c:cat>
          <c:val>
            <c:numRef>
              <c:f>'Pivot Table 4'!$E$5:$E$10</c:f>
              <c:numCache>
                <c:formatCode>_("$"* #,##0.00_);_("$"* \(#,##0.00\);_("$"* "-"??_);_(@_)</c:formatCode>
                <c:ptCount val="5"/>
                <c:pt idx="0">
                  <c:v>2717588.0100000002</c:v>
                </c:pt>
                <c:pt idx="1">
                  <c:v>2399643.64</c:v>
                </c:pt>
                <c:pt idx="2">
                  <c:v>2231908.15</c:v>
                </c:pt>
                <c:pt idx="3">
                  <c:v>3319007.4699999997</c:v>
                </c:pt>
                <c:pt idx="4">
                  <c:v>2615762.0500000003</c:v>
                </c:pt>
              </c:numCache>
            </c:numRef>
          </c:val>
          <c:extLst>
            <c:ext xmlns:c16="http://schemas.microsoft.com/office/drawing/2014/chart" uri="{C3380CC4-5D6E-409C-BE32-E72D297353CC}">
              <c16:uniqueId val="{00000003-2F2C-4ADB-808D-F6E625D8ECF2}"/>
            </c:ext>
          </c:extLst>
        </c:ser>
        <c:ser>
          <c:idx val="4"/>
          <c:order val="4"/>
          <c:tx>
            <c:strRef>
              <c:f>'Pivot Table 4'!$F$3:$F$4</c:f>
              <c:strCache>
                <c:ptCount val="1"/>
                <c:pt idx="0">
                  <c:v>Sarah Davis</c:v>
                </c:pt>
              </c:strCache>
            </c:strRef>
          </c:tx>
          <c:invertIfNegative val="0"/>
          <c:cat>
            <c:strRef>
              <c:f>'Pivot Table 4'!$A$5:$A$10</c:f>
              <c:strCache>
                <c:ptCount val="5"/>
                <c:pt idx="0">
                  <c:v>Store A</c:v>
                </c:pt>
                <c:pt idx="1">
                  <c:v>Store B</c:v>
                </c:pt>
                <c:pt idx="2">
                  <c:v>Store C</c:v>
                </c:pt>
                <c:pt idx="3">
                  <c:v>Store D</c:v>
                </c:pt>
                <c:pt idx="4">
                  <c:v>Store E</c:v>
                </c:pt>
              </c:strCache>
            </c:strRef>
          </c:cat>
          <c:val>
            <c:numRef>
              <c:f>'Pivot Table 4'!$F$5:$F$10</c:f>
              <c:numCache>
                <c:formatCode>_("$"* #,##0.00_);_("$"* \(#,##0.00\);_("$"* "-"??_);_(@_)</c:formatCode>
                <c:ptCount val="5"/>
                <c:pt idx="0">
                  <c:v>3206530.91</c:v>
                </c:pt>
                <c:pt idx="1">
                  <c:v>2015614.2799999998</c:v>
                </c:pt>
                <c:pt idx="2">
                  <c:v>431883.43000000005</c:v>
                </c:pt>
                <c:pt idx="3">
                  <c:v>246445.16</c:v>
                </c:pt>
                <c:pt idx="4">
                  <c:v>2270909.12</c:v>
                </c:pt>
              </c:numCache>
            </c:numRef>
          </c:val>
          <c:extLst>
            <c:ext xmlns:c16="http://schemas.microsoft.com/office/drawing/2014/chart" uri="{C3380CC4-5D6E-409C-BE32-E72D297353CC}">
              <c16:uniqueId val="{00000004-2F2C-4ADB-808D-F6E625D8ECF2}"/>
            </c:ext>
          </c:extLst>
        </c:ser>
        <c:dLbls>
          <c:showLegendKey val="0"/>
          <c:showVal val="0"/>
          <c:showCatName val="0"/>
          <c:showSerName val="0"/>
          <c:showPercent val="0"/>
          <c:showBubbleSize val="0"/>
        </c:dLbls>
        <c:gapWidth val="150"/>
        <c:overlap val="100"/>
        <c:axId val="211384192"/>
        <c:axId val="211385728"/>
      </c:barChart>
      <c:catAx>
        <c:axId val="211384192"/>
        <c:scaling>
          <c:orientation val="minMax"/>
        </c:scaling>
        <c:delete val="0"/>
        <c:axPos val="b"/>
        <c:numFmt formatCode="General" sourceLinked="0"/>
        <c:majorTickMark val="out"/>
        <c:minorTickMark val="none"/>
        <c:tickLblPos val="nextTo"/>
        <c:crossAx val="211385728"/>
        <c:crosses val="autoZero"/>
        <c:auto val="1"/>
        <c:lblAlgn val="ctr"/>
        <c:lblOffset val="100"/>
        <c:noMultiLvlLbl val="0"/>
      </c:catAx>
      <c:valAx>
        <c:axId val="211385728"/>
        <c:scaling>
          <c:orientation val="minMax"/>
        </c:scaling>
        <c:delete val="0"/>
        <c:axPos val="l"/>
        <c:majorGridlines/>
        <c:numFmt formatCode="_(&quot;$&quot;* #,##0.00_);_(&quot;$&quot;* \(#,##0.00\);_(&quot;$&quot;* &quot;-&quot;??_);_(@_)" sourceLinked="1"/>
        <c:majorTickMark val="out"/>
        <c:minorTickMark val="none"/>
        <c:tickLblPos val="nextTo"/>
        <c:crossAx val="211384192"/>
        <c:crosses val="autoZero"/>
        <c:crossBetween val="between"/>
      </c:valAx>
    </c:plotArea>
    <c:legend>
      <c:legendPos val="r"/>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260350</xdr:colOff>
      <xdr:row>5</xdr:row>
      <xdr:rowOff>95250</xdr:rowOff>
    </xdr:from>
    <xdr:to>
      <xdr:col>16</xdr:col>
      <xdr:colOff>190500</xdr:colOff>
      <xdr:row>17</xdr:row>
      <xdr:rowOff>19050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622300</xdr:colOff>
      <xdr:row>5</xdr:row>
      <xdr:rowOff>12700</xdr:rowOff>
    </xdr:from>
    <xdr:to>
      <xdr:col>10</xdr:col>
      <xdr:colOff>647700</xdr:colOff>
      <xdr:row>17</xdr:row>
      <xdr:rowOff>95250</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552450</xdr:colOff>
      <xdr:row>20</xdr:row>
      <xdr:rowOff>146050</xdr:rowOff>
    </xdr:from>
    <xdr:to>
      <xdr:col>17</xdr:col>
      <xdr:colOff>431800</xdr:colOff>
      <xdr:row>32</xdr:row>
      <xdr:rowOff>158750</xdr:rowOff>
    </xdr:to>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565150</xdr:colOff>
      <xdr:row>21</xdr:row>
      <xdr:rowOff>120650</xdr:rowOff>
    </xdr:from>
    <xdr:to>
      <xdr:col>11</xdr:col>
      <xdr:colOff>514350</xdr:colOff>
      <xdr:row>36</xdr:row>
      <xdr:rowOff>107950</xdr:rowOff>
    </xdr:to>
    <xdr:graphicFrame macro="">
      <xdr:nvGraphicFramePr>
        <xdr:cNvPr id="5" name="Chart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133350</xdr:colOff>
      <xdr:row>2</xdr:row>
      <xdr:rowOff>69850</xdr:rowOff>
    </xdr:from>
    <xdr:to>
      <xdr:col>4</xdr:col>
      <xdr:colOff>615950</xdr:colOff>
      <xdr:row>3</xdr:row>
      <xdr:rowOff>755650</xdr:rowOff>
    </xdr:to>
    <mc:AlternateContent xmlns:mc="http://schemas.openxmlformats.org/markup-compatibility/2006" xmlns:a14="http://schemas.microsoft.com/office/drawing/2010/main">
      <mc:Choice Requires="a14">
        <xdr:graphicFrame macro="">
          <xdr:nvGraphicFramePr>
            <xdr:cNvPr id="6" name="Store">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133350" y="425450"/>
              <a:ext cx="3124200" cy="8636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419100</xdr:colOff>
      <xdr:row>2</xdr:row>
      <xdr:rowOff>76200</xdr:rowOff>
    </xdr:from>
    <xdr:to>
      <xdr:col>16</xdr:col>
      <xdr:colOff>50800</xdr:colOff>
      <xdr:row>3</xdr:row>
      <xdr:rowOff>755650</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023100" y="431800"/>
              <a:ext cx="3594100"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31750</xdr:colOff>
      <xdr:row>2</xdr:row>
      <xdr:rowOff>63501</xdr:rowOff>
    </xdr:from>
    <xdr:to>
      <xdr:col>10</xdr:col>
      <xdr:colOff>285750</xdr:colOff>
      <xdr:row>3</xdr:row>
      <xdr:rowOff>755650</xdr:rowOff>
    </xdr:to>
    <mc:AlternateContent xmlns:mc="http://schemas.openxmlformats.org/markup-compatibility/2006" xmlns:a14="http://schemas.microsoft.com/office/drawing/2010/main">
      <mc:Choice Requires="a14">
        <xdr:graphicFrame macro="">
          <xdr:nvGraphicFramePr>
            <xdr:cNvPr id="8" name="Salesperson">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3333750" y="419101"/>
              <a:ext cx="3556000" cy="86994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117233</xdr:colOff>
      <xdr:row>6</xdr:row>
      <xdr:rowOff>4274</xdr:rowOff>
    </xdr:from>
    <xdr:to>
      <xdr:col>3</xdr:col>
      <xdr:colOff>204667</xdr:colOff>
      <xdr:row>20</xdr:row>
      <xdr:rowOff>227134</xdr:rowOff>
    </xdr:to>
    <mc:AlternateContent xmlns:mc="http://schemas.openxmlformats.org/markup-compatibility/2006" xmlns:a14="http://schemas.microsoft.com/office/drawing/2010/main">
      <mc:Choice Requires="a14">
        <xdr:graphicFrame macro="">
          <xdr:nvGraphicFramePr>
            <xdr:cNvPr id="9" name="Date">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777633" y="1667974"/>
              <a:ext cx="1408234" cy="276286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636.969254050928" createdVersion="4" refreshedVersion="4" minRefreshableVersion="3" recordCount="100" xr:uid="{00000000-000A-0000-FFFF-FFFF00000000}">
  <cacheSource type="worksheet">
    <worksheetSource name="Table1"/>
  </cacheSource>
  <cacheFields count="7">
    <cacheField name="Date" numFmtId="0">
      <sharedItems count="99">
        <s v="1/28/2003"/>
        <s v="9/3/2017"/>
        <s v="1/9/2015"/>
        <s v="8/22/2007"/>
        <s v="4/4/2013"/>
        <s v="3/5/2001"/>
        <s v="11/19/2013"/>
        <s v="3/9/2006"/>
        <s v="10/25/2005"/>
        <s v="6/30/2000"/>
        <s v="9/26/2000"/>
        <s v="10/3/2010"/>
        <s v="5/13/2021"/>
        <s v="2/3/2019"/>
        <s v="7/23/2005"/>
        <s v="2/11/2003"/>
        <s v="8/20/2005"/>
        <s v="7/8/2012"/>
        <s v="1/8/2021"/>
        <s v="4/15/2017"/>
        <s v="7/18/2000"/>
        <s v="3/5/2018"/>
        <s v="7/24/2012"/>
        <s v="3/31/2022"/>
        <s v="11/4/2017"/>
        <s v="4/25/2000"/>
        <s v="2/12/2012"/>
        <s v="5/14/2020"/>
        <s v="4/4/2005"/>
        <s v="1/29/2003"/>
        <s v="2/20/2012"/>
        <s v="6/23/2009"/>
        <s v="12/5/2022"/>
        <s v="10/17/2003"/>
        <s v="12/19/2009"/>
        <s v="2/24/2018"/>
        <s v="8/20/2000"/>
        <s v="12/7/2012"/>
        <s v="11/25/2013"/>
        <s v="2/10/2000"/>
        <s v="7/23/2006"/>
        <s v="12/11/2020"/>
        <s v="7/28/2015"/>
        <s v="2/24/2014"/>
        <s v="1/25/2008"/>
        <s v="6/14/2014"/>
        <s v="3/7/2015"/>
        <s v="2/8/2004"/>
        <s v="1/23/2005"/>
        <s v="1/26/2012"/>
        <s v="9/13/2016"/>
        <s v="5/21/2011"/>
        <s v="9/5/2020"/>
        <s v="4/23/2000"/>
        <s v="11/1/2001"/>
        <s v="8/2/2006"/>
        <s v="4/28/2020"/>
        <s v="12/15/2019"/>
        <s v="7/18/2010"/>
        <s v="4/20/2014"/>
        <s v="6/22/2021"/>
        <s v="2/20/2004"/>
        <s v="12/10/2019"/>
        <s v="6/24/2016"/>
        <s v="12/9/2011"/>
        <s v="12/3/2007"/>
        <s v="1/4/2022"/>
        <s v="8/25/2003"/>
        <s v="11/9/2008"/>
        <s v="8/23/2004"/>
        <s v="6/4/2003"/>
        <s v="2/24/2009"/>
        <s v="9/13/2010"/>
        <s v="2/21/2001"/>
        <s v="1/27/2005"/>
        <s v="5/30/2003"/>
        <s v="2/2/2015"/>
        <s v="9/14/2022"/>
        <s v="10/19/2002"/>
        <s v="1/24/2015"/>
        <s v="12/13/2005"/>
        <s v="2/28/2014"/>
        <s v="8/4/2005"/>
        <s v="6/8/2006"/>
        <s v="5/2/2007"/>
        <s v="6/28/2015"/>
        <s v="3/8/2004"/>
        <s v="11/27/2018"/>
        <s v="2/16/2003"/>
        <s v="5/10/2020"/>
        <s v="4/11/2020"/>
        <s v="11/8/2019"/>
        <s v="9/17/2020"/>
        <s v="5/4/2022"/>
        <s v="4/12/2009"/>
        <s v="7/27/2016"/>
        <s v="2/13/2019"/>
        <s v="5/3/2012"/>
        <s v="5/6/2019"/>
      </sharedItems>
    </cacheField>
    <cacheField name="Store" numFmtId="0">
      <sharedItems count="5">
        <s v="Store E"/>
        <s v="Store D"/>
        <s v="Store B"/>
        <s v="Store C"/>
        <s v="Store A"/>
      </sharedItems>
    </cacheField>
    <cacheField name="Salesperson" numFmtId="0">
      <sharedItems count="5">
        <s v="John Smith"/>
        <s v="Emily Johnson"/>
        <s v="David Wilson"/>
        <s v="Michael Brown"/>
        <s v="Sarah Davis"/>
      </sharedItems>
    </cacheField>
    <cacheField name="Product" numFmtId="0">
      <sharedItems count="5">
        <s v="productA"/>
        <s v="productB"/>
        <s v="productD"/>
        <s v="productC"/>
        <s v="productE"/>
      </sharedItems>
    </cacheField>
    <cacheField name="Quantity" numFmtId="0">
      <sharedItems containsSemiMixedTypes="0" containsString="0" containsNumber="1" containsInteger="1" minValue="7" maxValue="493"/>
    </cacheField>
    <cacheField name="Prices" numFmtId="0">
      <sharedItems containsSemiMixedTypes="0" containsString="0" containsNumber="1" minValue="10.5" maxValue="999.36"/>
    </cacheField>
    <cacheField name="Total Sales" numFmtId="0">
      <sharedItems containsSemiMixedTypes="0" containsString="0" containsNumber="1" minValue="1605.16" maxValue="999296.57" count="100">
        <n v="627758.81999999995"/>
        <n v="675580.2"/>
        <n v="235519.59"/>
        <n v="459415.66"/>
        <n v="319098.27"/>
        <n v="723073.36"/>
        <n v="907926.7"/>
        <n v="96291.12"/>
        <n v="681017.14"/>
        <n v="366739.82"/>
        <n v="410063.99"/>
        <n v="8524.67"/>
        <n v="165274.94"/>
        <n v="569295.52"/>
        <n v="102257.87"/>
        <n v="409421.93"/>
        <n v="231149.32"/>
        <n v="517034.66"/>
        <n v="710898.87"/>
        <n v="371247.33"/>
        <n v="316893.15000000002"/>
        <n v="884483.82"/>
        <n v="659643.06000000006"/>
        <n v="2898.92"/>
        <n v="478010.39"/>
        <n v="372117.06"/>
        <n v="727343.54"/>
        <n v="468209.59"/>
        <n v="416650.74"/>
        <n v="605465.56000000006"/>
        <n v="924683.68"/>
        <n v="913102.28"/>
        <n v="407083.31"/>
        <n v="449800.86"/>
        <n v="746579.49"/>
        <n v="598370.22"/>
        <n v="359099.47"/>
        <n v="565504.94999999995"/>
        <n v="440468.37"/>
        <n v="368711.57"/>
        <n v="733044.02"/>
        <n v="520508.46"/>
        <n v="657531.4"/>
        <n v="880938.96"/>
        <n v="639777.77"/>
        <n v="235943.34"/>
        <n v="617727.68999999994"/>
        <n v="551576.93000000005"/>
        <n v="895232.7"/>
        <n v="52413.16"/>
        <n v="229147.63"/>
        <n v="446184.8"/>
        <n v="81170.22"/>
        <n v="196466.42"/>
        <n v="57238.69"/>
        <n v="999296.57"/>
        <n v="432714.06"/>
        <n v="698761.62"/>
        <n v="113177.34"/>
        <n v="963658.45"/>
        <n v="495025.94"/>
        <n v="741443.56"/>
        <n v="827262.41"/>
        <n v="895738.94"/>
        <n v="797689.03"/>
        <n v="970167.22"/>
        <n v="827659.33"/>
        <n v="823039.91"/>
        <n v="782886.07"/>
        <n v="148816.20000000001"/>
        <n v="70705.45"/>
        <n v="430244.69"/>
        <n v="393323.53"/>
        <n v="26790.52"/>
        <n v="917910.55"/>
        <n v="567469.55000000005"/>
        <n v="685621.49"/>
        <n v="358555.26"/>
        <n v="113990.23"/>
        <n v="146387.65"/>
        <n v="285495.78000000003"/>
        <n v="197715.93"/>
        <n v="894777.59"/>
        <n v="6959.24"/>
        <n v="383697.86"/>
        <n v="974017.79"/>
        <n v="305291.75"/>
        <n v="271341.65000000002"/>
        <n v="299541.84999999998"/>
        <n v="699963.74"/>
        <n v="100756.01"/>
        <n v="982257.62"/>
        <n v="1605.16"/>
        <n v="165632.13"/>
        <n v="392279.89"/>
        <n v="662704.18999999994"/>
        <n v="971463.6"/>
        <n v="342659.15"/>
        <n v="748758.65"/>
        <n v="62711.43"/>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x v="0"/>
    <x v="0"/>
    <x v="0"/>
    <x v="0"/>
    <n v="136"/>
    <n v="63.84"/>
    <x v="0"/>
  </r>
  <r>
    <x v="1"/>
    <x v="1"/>
    <x v="0"/>
    <x v="1"/>
    <n v="260"/>
    <n v="416.21"/>
    <x v="1"/>
  </r>
  <r>
    <x v="2"/>
    <x v="1"/>
    <x v="1"/>
    <x v="1"/>
    <n v="443"/>
    <n v="665.48"/>
    <x v="2"/>
  </r>
  <r>
    <x v="3"/>
    <x v="2"/>
    <x v="2"/>
    <x v="2"/>
    <n v="466"/>
    <n v="108.9"/>
    <x v="3"/>
  </r>
  <r>
    <x v="4"/>
    <x v="2"/>
    <x v="3"/>
    <x v="0"/>
    <n v="253"/>
    <n v="465.28"/>
    <x v="4"/>
  </r>
  <r>
    <x v="5"/>
    <x v="2"/>
    <x v="1"/>
    <x v="1"/>
    <n v="229"/>
    <n v="481.71"/>
    <x v="5"/>
  </r>
  <r>
    <x v="6"/>
    <x v="1"/>
    <x v="2"/>
    <x v="2"/>
    <n v="49"/>
    <n v="858.57"/>
    <x v="6"/>
  </r>
  <r>
    <x v="7"/>
    <x v="0"/>
    <x v="3"/>
    <x v="3"/>
    <n v="59"/>
    <n v="297.02"/>
    <x v="7"/>
  </r>
  <r>
    <x v="8"/>
    <x v="0"/>
    <x v="3"/>
    <x v="1"/>
    <n v="318"/>
    <n v="927.88"/>
    <x v="8"/>
  </r>
  <r>
    <x v="9"/>
    <x v="3"/>
    <x v="2"/>
    <x v="2"/>
    <n v="288"/>
    <n v="371.33"/>
    <x v="9"/>
  </r>
  <r>
    <x v="10"/>
    <x v="1"/>
    <x v="1"/>
    <x v="2"/>
    <n v="317"/>
    <n v="385.87"/>
    <x v="10"/>
  </r>
  <r>
    <x v="11"/>
    <x v="2"/>
    <x v="1"/>
    <x v="0"/>
    <n v="406"/>
    <n v="481.07"/>
    <x v="11"/>
  </r>
  <r>
    <x v="12"/>
    <x v="1"/>
    <x v="4"/>
    <x v="2"/>
    <n v="56"/>
    <n v="262.08"/>
    <x v="12"/>
  </r>
  <r>
    <x v="13"/>
    <x v="4"/>
    <x v="3"/>
    <x v="4"/>
    <n v="359"/>
    <n v="405.76"/>
    <x v="13"/>
  </r>
  <r>
    <x v="14"/>
    <x v="4"/>
    <x v="2"/>
    <x v="4"/>
    <n v="442"/>
    <n v="318.77999999999997"/>
    <x v="14"/>
  </r>
  <r>
    <x v="15"/>
    <x v="4"/>
    <x v="4"/>
    <x v="0"/>
    <n v="107"/>
    <n v="761.34"/>
    <x v="15"/>
  </r>
  <r>
    <x v="16"/>
    <x v="2"/>
    <x v="1"/>
    <x v="2"/>
    <n v="223"/>
    <n v="206.64"/>
    <x v="16"/>
  </r>
  <r>
    <x v="17"/>
    <x v="1"/>
    <x v="2"/>
    <x v="3"/>
    <n v="194"/>
    <n v="109.55"/>
    <x v="17"/>
  </r>
  <r>
    <x v="18"/>
    <x v="4"/>
    <x v="0"/>
    <x v="0"/>
    <n v="288"/>
    <n v="999.36"/>
    <x v="18"/>
  </r>
  <r>
    <x v="19"/>
    <x v="1"/>
    <x v="3"/>
    <x v="3"/>
    <n v="220"/>
    <n v="964.88"/>
    <x v="19"/>
  </r>
  <r>
    <x v="20"/>
    <x v="4"/>
    <x v="0"/>
    <x v="0"/>
    <n v="114"/>
    <n v="608"/>
    <x v="20"/>
  </r>
  <r>
    <x v="21"/>
    <x v="4"/>
    <x v="0"/>
    <x v="2"/>
    <n v="102"/>
    <n v="260.72000000000003"/>
    <x v="21"/>
  </r>
  <r>
    <x v="22"/>
    <x v="4"/>
    <x v="4"/>
    <x v="2"/>
    <n v="167"/>
    <n v="398.77"/>
    <x v="22"/>
  </r>
  <r>
    <x v="23"/>
    <x v="3"/>
    <x v="0"/>
    <x v="0"/>
    <n v="484"/>
    <n v="758.98"/>
    <x v="23"/>
  </r>
  <r>
    <x v="24"/>
    <x v="2"/>
    <x v="4"/>
    <x v="0"/>
    <n v="349"/>
    <n v="10.71"/>
    <x v="24"/>
  </r>
  <r>
    <x v="25"/>
    <x v="3"/>
    <x v="0"/>
    <x v="4"/>
    <n v="7"/>
    <n v="271.64999999999998"/>
    <x v="25"/>
  </r>
  <r>
    <x v="26"/>
    <x v="2"/>
    <x v="2"/>
    <x v="3"/>
    <n v="107"/>
    <n v="55.16"/>
    <x v="26"/>
  </r>
  <r>
    <x v="27"/>
    <x v="4"/>
    <x v="1"/>
    <x v="2"/>
    <n v="479"/>
    <n v="862.67"/>
    <x v="27"/>
  </r>
  <r>
    <x v="28"/>
    <x v="4"/>
    <x v="4"/>
    <x v="4"/>
    <n v="135"/>
    <n v="75.430000000000007"/>
    <x v="28"/>
  </r>
  <r>
    <x v="29"/>
    <x v="3"/>
    <x v="0"/>
    <x v="0"/>
    <n v="479"/>
    <n v="399.75"/>
    <x v="29"/>
  </r>
  <r>
    <x v="30"/>
    <x v="4"/>
    <x v="3"/>
    <x v="1"/>
    <n v="351"/>
    <n v="86.57"/>
    <x v="30"/>
  </r>
  <r>
    <x v="31"/>
    <x v="4"/>
    <x v="2"/>
    <x v="1"/>
    <n v="331"/>
    <n v="672.45"/>
    <x v="31"/>
  </r>
  <r>
    <x v="32"/>
    <x v="0"/>
    <x v="0"/>
    <x v="3"/>
    <n v="478"/>
    <n v="785.79"/>
    <x v="32"/>
  </r>
  <r>
    <x v="33"/>
    <x v="0"/>
    <x v="3"/>
    <x v="1"/>
    <n v="222"/>
    <n v="149.71"/>
    <x v="33"/>
  </r>
  <r>
    <x v="34"/>
    <x v="0"/>
    <x v="4"/>
    <x v="0"/>
    <n v="327"/>
    <n v="897.31"/>
    <x v="34"/>
  </r>
  <r>
    <x v="35"/>
    <x v="0"/>
    <x v="3"/>
    <x v="0"/>
    <n v="445"/>
    <n v="661.83"/>
    <x v="35"/>
  </r>
  <r>
    <x v="36"/>
    <x v="1"/>
    <x v="3"/>
    <x v="0"/>
    <n v="145"/>
    <n v="77.930000000000007"/>
    <x v="36"/>
  </r>
  <r>
    <x v="37"/>
    <x v="1"/>
    <x v="2"/>
    <x v="4"/>
    <n v="344"/>
    <n v="241.33"/>
    <x v="37"/>
  </r>
  <r>
    <x v="38"/>
    <x v="4"/>
    <x v="1"/>
    <x v="2"/>
    <n v="347"/>
    <n v="135.63999999999999"/>
    <x v="38"/>
  </r>
  <r>
    <x v="39"/>
    <x v="3"/>
    <x v="3"/>
    <x v="4"/>
    <n v="281"/>
    <n v="149.26"/>
    <x v="39"/>
  </r>
  <r>
    <x v="40"/>
    <x v="0"/>
    <x v="3"/>
    <x v="3"/>
    <n v="161"/>
    <n v="558.6"/>
    <x v="40"/>
  </r>
  <r>
    <x v="41"/>
    <x v="2"/>
    <x v="0"/>
    <x v="0"/>
    <n v="381"/>
    <n v="729.94"/>
    <x v="41"/>
  </r>
  <r>
    <x v="42"/>
    <x v="2"/>
    <x v="4"/>
    <x v="0"/>
    <n v="272"/>
    <n v="967.37"/>
    <x v="42"/>
  </r>
  <r>
    <x v="43"/>
    <x v="3"/>
    <x v="3"/>
    <x v="1"/>
    <n v="282"/>
    <n v="864.79"/>
    <x v="43"/>
  </r>
  <r>
    <x v="44"/>
    <x v="2"/>
    <x v="3"/>
    <x v="2"/>
    <n v="169"/>
    <n v="716.38"/>
    <x v="44"/>
  </r>
  <r>
    <x v="45"/>
    <x v="1"/>
    <x v="0"/>
    <x v="3"/>
    <n v="320"/>
    <n v="527.4"/>
    <x v="45"/>
  </r>
  <r>
    <x v="46"/>
    <x v="2"/>
    <x v="3"/>
    <x v="2"/>
    <n v="273"/>
    <n v="280.97000000000003"/>
    <x v="46"/>
  </r>
  <r>
    <x v="47"/>
    <x v="3"/>
    <x v="1"/>
    <x v="2"/>
    <n v="208"/>
    <n v="480.9"/>
    <x v="47"/>
  </r>
  <r>
    <x v="48"/>
    <x v="1"/>
    <x v="3"/>
    <x v="3"/>
    <n v="209"/>
    <n v="560.34"/>
    <x v="48"/>
  </r>
  <r>
    <x v="49"/>
    <x v="2"/>
    <x v="4"/>
    <x v="3"/>
    <n v="136"/>
    <n v="358.08"/>
    <x v="49"/>
  </r>
  <r>
    <x v="50"/>
    <x v="1"/>
    <x v="0"/>
    <x v="4"/>
    <n v="206"/>
    <n v="739.17"/>
    <x v="50"/>
  </r>
  <r>
    <x v="51"/>
    <x v="0"/>
    <x v="1"/>
    <x v="2"/>
    <n v="364"/>
    <n v="151.30000000000001"/>
    <x v="51"/>
  </r>
  <r>
    <x v="52"/>
    <x v="1"/>
    <x v="4"/>
    <x v="0"/>
    <n v="405"/>
    <n v="11.17"/>
    <x v="52"/>
  </r>
  <r>
    <x v="45"/>
    <x v="4"/>
    <x v="3"/>
    <x v="4"/>
    <n v="130"/>
    <n v="956.98"/>
    <x v="53"/>
  </r>
  <r>
    <x v="53"/>
    <x v="0"/>
    <x v="3"/>
    <x v="2"/>
    <n v="237"/>
    <n v="877.85"/>
    <x v="54"/>
  </r>
  <r>
    <x v="54"/>
    <x v="3"/>
    <x v="0"/>
    <x v="2"/>
    <n v="260"/>
    <n v="506.03"/>
    <x v="55"/>
  </r>
  <r>
    <x v="55"/>
    <x v="4"/>
    <x v="4"/>
    <x v="2"/>
    <n v="87"/>
    <n v="833.01"/>
    <x v="56"/>
  </r>
  <r>
    <x v="56"/>
    <x v="2"/>
    <x v="0"/>
    <x v="4"/>
    <n v="304"/>
    <n v="10.5"/>
    <x v="57"/>
  </r>
  <r>
    <x v="57"/>
    <x v="4"/>
    <x v="3"/>
    <x v="0"/>
    <n v="361"/>
    <n v="996.71"/>
    <x v="58"/>
  </r>
  <r>
    <x v="58"/>
    <x v="3"/>
    <x v="2"/>
    <x v="1"/>
    <n v="324"/>
    <n v="962.21"/>
    <x v="59"/>
  </r>
  <r>
    <x v="59"/>
    <x v="1"/>
    <x v="1"/>
    <x v="0"/>
    <n v="63"/>
    <n v="55.9"/>
    <x v="60"/>
  </r>
  <r>
    <x v="60"/>
    <x v="0"/>
    <x v="4"/>
    <x v="4"/>
    <n v="294"/>
    <n v="688.73"/>
    <x v="61"/>
  </r>
  <r>
    <x v="61"/>
    <x v="2"/>
    <x v="1"/>
    <x v="1"/>
    <n v="452"/>
    <n v="782.93"/>
    <x v="62"/>
  </r>
  <r>
    <x v="62"/>
    <x v="1"/>
    <x v="3"/>
    <x v="3"/>
    <n v="276"/>
    <n v="526.86"/>
    <x v="63"/>
  </r>
  <r>
    <x v="63"/>
    <x v="1"/>
    <x v="3"/>
    <x v="4"/>
    <n v="355"/>
    <n v="410.98"/>
    <x v="64"/>
  </r>
  <r>
    <x v="64"/>
    <x v="2"/>
    <x v="0"/>
    <x v="2"/>
    <n v="240"/>
    <n v="148.84"/>
    <x v="65"/>
  </r>
  <r>
    <x v="65"/>
    <x v="2"/>
    <x v="4"/>
    <x v="0"/>
    <n v="121"/>
    <n v="352.67"/>
    <x v="66"/>
  </r>
  <r>
    <x v="66"/>
    <x v="2"/>
    <x v="3"/>
    <x v="4"/>
    <n v="247"/>
    <n v="740.09"/>
    <x v="67"/>
  </r>
  <r>
    <x v="67"/>
    <x v="0"/>
    <x v="4"/>
    <x v="3"/>
    <n v="164"/>
    <n v="174.57"/>
    <x v="68"/>
  </r>
  <r>
    <x v="68"/>
    <x v="1"/>
    <x v="2"/>
    <x v="2"/>
    <n v="38"/>
    <n v="977.04"/>
    <x v="69"/>
  </r>
  <r>
    <x v="69"/>
    <x v="0"/>
    <x v="1"/>
    <x v="3"/>
    <n v="198"/>
    <n v="339.88"/>
    <x v="70"/>
  </r>
  <r>
    <x v="70"/>
    <x v="1"/>
    <x v="1"/>
    <x v="2"/>
    <n v="197"/>
    <n v="164.96"/>
    <x v="71"/>
  </r>
  <r>
    <x v="71"/>
    <x v="4"/>
    <x v="4"/>
    <x v="3"/>
    <n v="412"/>
    <n v="685.33"/>
    <x v="72"/>
  </r>
  <r>
    <x v="72"/>
    <x v="1"/>
    <x v="0"/>
    <x v="1"/>
    <n v="158"/>
    <n v="152.19"/>
    <x v="73"/>
  </r>
  <r>
    <x v="73"/>
    <x v="2"/>
    <x v="2"/>
    <x v="4"/>
    <n v="493"/>
    <n v="180.52"/>
    <x v="74"/>
  </r>
  <r>
    <x v="74"/>
    <x v="3"/>
    <x v="2"/>
    <x v="0"/>
    <n v="184"/>
    <n v="826.15"/>
    <x v="75"/>
  </r>
  <r>
    <x v="75"/>
    <x v="4"/>
    <x v="3"/>
    <x v="2"/>
    <n v="44"/>
    <n v="832.52"/>
    <x v="76"/>
  </r>
  <r>
    <x v="76"/>
    <x v="1"/>
    <x v="1"/>
    <x v="2"/>
    <n v="233"/>
    <n v="242.85"/>
    <x v="77"/>
  </r>
  <r>
    <x v="77"/>
    <x v="2"/>
    <x v="0"/>
    <x v="0"/>
    <n v="407"/>
    <n v="596.16"/>
    <x v="78"/>
  </r>
  <r>
    <x v="78"/>
    <x v="3"/>
    <x v="4"/>
    <x v="2"/>
    <n v="227"/>
    <n v="854.55"/>
    <x v="79"/>
  </r>
  <r>
    <x v="79"/>
    <x v="3"/>
    <x v="4"/>
    <x v="3"/>
    <n v="194"/>
    <n v="454.72"/>
    <x v="80"/>
  </r>
  <r>
    <x v="80"/>
    <x v="2"/>
    <x v="1"/>
    <x v="1"/>
    <n v="58"/>
    <n v="512.99"/>
    <x v="81"/>
  </r>
  <r>
    <x v="81"/>
    <x v="4"/>
    <x v="4"/>
    <x v="1"/>
    <n v="93"/>
    <n v="831.17"/>
    <x v="82"/>
  </r>
  <r>
    <x v="82"/>
    <x v="2"/>
    <x v="0"/>
    <x v="2"/>
    <n v="298"/>
    <n v="69.86"/>
    <x v="83"/>
  </r>
  <r>
    <x v="83"/>
    <x v="0"/>
    <x v="1"/>
    <x v="4"/>
    <n v="63"/>
    <n v="69.09"/>
    <x v="84"/>
  </r>
  <r>
    <x v="84"/>
    <x v="3"/>
    <x v="0"/>
    <x v="3"/>
    <n v="477"/>
    <n v="464.25"/>
    <x v="85"/>
  </r>
  <r>
    <x v="85"/>
    <x v="3"/>
    <x v="0"/>
    <x v="3"/>
    <n v="329"/>
    <n v="141.28"/>
    <x v="86"/>
  </r>
  <r>
    <x v="86"/>
    <x v="2"/>
    <x v="0"/>
    <x v="0"/>
    <n v="390"/>
    <n v="79.540000000000006"/>
    <x v="87"/>
  </r>
  <r>
    <x v="87"/>
    <x v="1"/>
    <x v="0"/>
    <x v="4"/>
    <n v="476"/>
    <n v="250.03"/>
    <x v="88"/>
  </r>
  <r>
    <x v="88"/>
    <x v="0"/>
    <x v="2"/>
    <x v="0"/>
    <n v="165"/>
    <n v="867.52"/>
    <x v="89"/>
  </r>
  <r>
    <x v="89"/>
    <x v="2"/>
    <x v="1"/>
    <x v="0"/>
    <n v="247"/>
    <n v="353.3"/>
    <x v="90"/>
  </r>
  <r>
    <x v="90"/>
    <x v="3"/>
    <x v="3"/>
    <x v="3"/>
    <n v="427"/>
    <n v="291.02999999999997"/>
    <x v="91"/>
  </r>
  <r>
    <x v="91"/>
    <x v="0"/>
    <x v="1"/>
    <x v="0"/>
    <n v="131"/>
    <n v="463.3"/>
    <x v="92"/>
  </r>
  <r>
    <x v="92"/>
    <x v="4"/>
    <x v="3"/>
    <x v="0"/>
    <n v="179"/>
    <n v="411.89"/>
    <x v="93"/>
  </r>
  <r>
    <x v="93"/>
    <x v="0"/>
    <x v="2"/>
    <x v="0"/>
    <n v="168"/>
    <n v="438.75"/>
    <x v="94"/>
  </r>
  <r>
    <x v="94"/>
    <x v="0"/>
    <x v="2"/>
    <x v="2"/>
    <n v="223"/>
    <n v="567.03"/>
    <x v="95"/>
  </r>
  <r>
    <x v="95"/>
    <x v="4"/>
    <x v="2"/>
    <x v="1"/>
    <n v="223"/>
    <n v="230.36"/>
    <x v="96"/>
  </r>
  <r>
    <x v="96"/>
    <x v="0"/>
    <x v="2"/>
    <x v="2"/>
    <n v="56"/>
    <n v="650.61"/>
    <x v="97"/>
  </r>
  <r>
    <x v="97"/>
    <x v="2"/>
    <x v="0"/>
    <x v="3"/>
    <n v="388"/>
    <n v="429.7"/>
    <x v="98"/>
  </r>
  <r>
    <x v="98"/>
    <x v="4"/>
    <x v="3"/>
    <x v="4"/>
    <n v="387"/>
    <n v="876.06"/>
    <x v="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103" firstHeaderRow="1" firstDataRow="1" firstDataCol="1"/>
  <pivotFields count="7">
    <pivotField axis="axisRow" showAll="0">
      <items count="100">
        <item x="48"/>
        <item x="79"/>
        <item x="44"/>
        <item x="49"/>
        <item x="74"/>
        <item x="0"/>
        <item x="29"/>
        <item x="66"/>
        <item x="18"/>
        <item x="2"/>
        <item x="33"/>
        <item x="78"/>
        <item x="8"/>
        <item x="11"/>
        <item x="54"/>
        <item x="6"/>
        <item x="38"/>
        <item x="87"/>
        <item x="24"/>
        <item x="91"/>
        <item x="68"/>
        <item x="62"/>
        <item x="41"/>
        <item x="80"/>
        <item x="57"/>
        <item x="34"/>
        <item x="65"/>
        <item x="32"/>
        <item x="37"/>
        <item x="64"/>
        <item x="39"/>
        <item x="15"/>
        <item x="26"/>
        <item x="96"/>
        <item x="88"/>
        <item x="76"/>
        <item x="61"/>
        <item x="30"/>
        <item x="73"/>
        <item x="71"/>
        <item x="43"/>
        <item x="35"/>
        <item x="81"/>
        <item x="13"/>
        <item x="47"/>
        <item x="23"/>
        <item x="5"/>
        <item x="21"/>
        <item x="46"/>
        <item x="86"/>
        <item x="7"/>
        <item x="90"/>
        <item x="94"/>
        <item x="19"/>
        <item x="59"/>
        <item x="53"/>
        <item x="25"/>
        <item x="56"/>
        <item x="28"/>
        <item x="4"/>
        <item x="89"/>
        <item x="12"/>
        <item x="27"/>
        <item x="84"/>
        <item x="51"/>
        <item x="97"/>
        <item x="75"/>
        <item x="93"/>
        <item x="98"/>
        <item x="45"/>
        <item x="60"/>
        <item x="31"/>
        <item x="63"/>
        <item x="85"/>
        <item x="9"/>
        <item x="70"/>
        <item x="83"/>
        <item x="20"/>
        <item x="58"/>
        <item x="14"/>
        <item x="40"/>
        <item x="22"/>
        <item x="95"/>
        <item x="42"/>
        <item x="17"/>
        <item x="55"/>
        <item x="36"/>
        <item x="16"/>
        <item x="3"/>
        <item x="69"/>
        <item x="67"/>
        <item x="82"/>
        <item x="72"/>
        <item x="50"/>
        <item x="77"/>
        <item x="92"/>
        <item x="10"/>
        <item x="1"/>
        <item x="52"/>
        <item t="default"/>
      </items>
    </pivotField>
    <pivotField showAll="0">
      <items count="6">
        <item x="4"/>
        <item x="2"/>
        <item x="3"/>
        <item x="1"/>
        <item x="0"/>
        <item t="default"/>
      </items>
    </pivotField>
    <pivotField showAll="0">
      <items count="6">
        <item x="2"/>
        <item x="1"/>
        <item x="0"/>
        <item x="3"/>
        <item x="4"/>
        <item t="default"/>
      </items>
    </pivotField>
    <pivotField showAll="0">
      <items count="6">
        <item x="0"/>
        <item x="1"/>
        <item x="3"/>
        <item x="2"/>
        <item x="4"/>
        <item t="default"/>
      </items>
    </pivotField>
    <pivotField showAll="0"/>
    <pivotField showAll="0"/>
    <pivotField dataField="1" showAll="0">
      <items count="101">
        <item x="92"/>
        <item x="23"/>
        <item x="83"/>
        <item x="11"/>
        <item x="73"/>
        <item x="49"/>
        <item x="54"/>
        <item x="99"/>
        <item x="70"/>
        <item x="52"/>
        <item x="7"/>
        <item x="90"/>
        <item x="14"/>
        <item x="58"/>
        <item x="78"/>
        <item x="79"/>
        <item x="69"/>
        <item x="12"/>
        <item x="93"/>
        <item x="53"/>
        <item x="81"/>
        <item x="50"/>
        <item x="16"/>
        <item x="2"/>
        <item x="45"/>
        <item x="87"/>
        <item x="80"/>
        <item x="88"/>
        <item x="86"/>
        <item x="20"/>
        <item x="4"/>
        <item x="97"/>
        <item x="77"/>
        <item x="36"/>
        <item x="9"/>
        <item x="39"/>
        <item x="19"/>
        <item x="25"/>
        <item x="84"/>
        <item x="94"/>
        <item x="72"/>
        <item x="32"/>
        <item x="15"/>
        <item x="10"/>
        <item x="28"/>
        <item x="71"/>
        <item x="56"/>
        <item x="38"/>
        <item x="51"/>
        <item x="33"/>
        <item x="3"/>
        <item x="27"/>
        <item x="24"/>
        <item x="60"/>
        <item x="17"/>
        <item x="41"/>
        <item x="47"/>
        <item x="37"/>
        <item x="75"/>
        <item x="13"/>
        <item x="35"/>
        <item x="29"/>
        <item x="46"/>
        <item x="0"/>
        <item x="44"/>
        <item x="42"/>
        <item x="22"/>
        <item x="95"/>
        <item x="1"/>
        <item x="8"/>
        <item x="76"/>
        <item x="57"/>
        <item x="89"/>
        <item x="18"/>
        <item x="5"/>
        <item x="26"/>
        <item x="40"/>
        <item x="61"/>
        <item x="34"/>
        <item x="98"/>
        <item x="68"/>
        <item x="64"/>
        <item x="67"/>
        <item x="62"/>
        <item x="66"/>
        <item x="43"/>
        <item x="21"/>
        <item x="82"/>
        <item x="48"/>
        <item x="63"/>
        <item x="6"/>
        <item x="31"/>
        <item x="74"/>
        <item x="30"/>
        <item x="59"/>
        <item x="65"/>
        <item x="96"/>
        <item x="85"/>
        <item x="91"/>
        <item x="55"/>
        <item t="default"/>
      </items>
    </pivotField>
  </pivotFields>
  <rowFields count="1">
    <field x="0"/>
  </rowFields>
  <rowItems count="1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t="grand">
      <x/>
    </i>
  </rowItems>
  <colItems count="1">
    <i/>
  </colItems>
  <dataFields count="1">
    <dataField name="Sum of Total Sales" fld="6" baseField="0" baseItem="6" numFmtId="44"/>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9" firstHeaderRow="1" firstDataRow="1" firstDataCol="1" rowPageCount="1" colPageCount="1"/>
  <pivotFields count="7">
    <pivotField axis="axisPage" showAll="0">
      <items count="100">
        <item x="48"/>
        <item x="79"/>
        <item x="44"/>
        <item x="49"/>
        <item x="74"/>
        <item x="0"/>
        <item x="29"/>
        <item x="66"/>
        <item x="18"/>
        <item x="2"/>
        <item x="33"/>
        <item x="78"/>
        <item x="8"/>
        <item x="11"/>
        <item x="54"/>
        <item x="6"/>
        <item x="38"/>
        <item x="87"/>
        <item x="24"/>
        <item x="91"/>
        <item x="68"/>
        <item x="62"/>
        <item x="41"/>
        <item x="80"/>
        <item x="57"/>
        <item x="34"/>
        <item x="65"/>
        <item x="32"/>
        <item x="37"/>
        <item x="64"/>
        <item x="39"/>
        <item x="15"/>
        <item x="26"/>
        <item x="96"/>
        <item x="88"/>
        <item x="76"/>
        <item x="61"/>
        <item x="30"/>
        <item x="73"/>
        <item x="71"/>
        <item x="43"/>
        <item x="35"/>
        <item x="81"/>
        <item x="13"/>
        <item x="47"/>
        <item x="23"/>
        <item x="5"/>
        <item x="21"/>
        <item x="46"/>
        <item x="86"/>
        <item x="7"/>
        <item x="90"/>
        <item x="94"/>
        <item x="19"/>
        <item x="59"/>
        <item x="53"/>
        <item x="25"/>
        <item x="56"/>
        <item x="28"/>
        <item x="4"/>
        <item x="89"/>
        <item x="12"/>
        <item x="27"/>
        <item x="84"/>
        <item x="51"/>
        <item x="97"/>
        <item x="75"/>
        <item x="93"/>
        <item x="98"/>
        <item x="45"/>
        <item x="60"/>
        <item x="31"/>
        <item x="63"/>
        <item x="85"/>
        <item x="9"/>
        <item x="70"/>
        <item x="83"/>
        <item x="20"/>
        <item x="58"/>
        <item x="14"/>
        <item x="40"/>
        <item x="22"/>
        <item x="95"/>
        <item x="42"/>
        <item x="17"/>
        <item x="55"/>
        <item x="36"/>
        <item x="16"/>
        <item x="3"/>
        <item x="69"/>
        <item x="67"/>
        <item x="82"/>
        <item x="72"/>
        <item x="50"/>
        <item x="77"/>
        <item x="92"/>
        <item x="10"/>
        <item x="1"/>
        <item x="52"/>
        <item t="default"/>
      </items>
    </pivotField>
    <pivotField showAll="0">
      <items count="6">
        <item x="4"/>
        <item x="2"/>
        <item x="3"/>
        <item x="1"/>
        <item x="0"/>
        <item t="default"/>
      </items>
    </pivotField>
    <pivotField showAll="0">
      <items count="6">
        <item x="2"/>
        <item x="1"/>
        <item x="0"/>
        <item x="3"/>
        <item x="4"/>
        <item t="default"/>
      </items>
    </pivotField>
    <pivotField axis="axisRow" showAll="0">
      <items count="6">
        <item x="0"/>
        <item x="1"/>
        <item x="3"/>
        <item x="2"/>
        <item x="4"/>
        <item t="default"/>
      </items>
    </pivotField>
    <pivotField showAll="0"/>
    <pivotField showAll="0"/>
    <pivotField dataField="1" showAll="0"/>
  </pivotFields>
  <rowFields count="1">
    <field x="3"/>
  </rowFields>
  <rowItems count="6">
    <i>
      <x/>
    </i>
    <i>
      <x v="1"/>
    </i>
    <i>
      <x v="2"/>
    </i>
    <i>
      <x v="3"/>
    </i>
    <i>
      <x v="4"/>
    </i>
    <i t="grand">
      <x/>
    </i>
  </rowItems>
  <colItems count="1">
    <i/>
  </colItems>
  <pageFields count="1">
    <pageField fld="0" hier="-1"/>
  </pageFields>
  <dataFields count="1">
    <dataField name="Sum of Total Sales" fld="6" baseField="3" baseItem="2" numFmtId="4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9" firstHeaderRow="1" firstDataRow="1" firstDataCol="1" rowPageCount="1" colPageCount="1"/>
  <pivotFields count="7">
    <pivotField axis="axisPage" showAll="0">
      <items count="100">
        <item x="48"/>
        <item x="79"/>
        <item x="44"/>
        <item x="49"/>
        <item x="74"/>
        <item x="0"/>
        <item x="29"/>
        <item x="66"/>
        <item x="18"/>
        <item x="2"/>
        <item x="33"/>
        <item x="78"/>
        <item x="8"/>
        <item x="11"/>
        <item x="54"/>
        <item x="6"/>
        <item x="38"/>
        <item x="87"/>
        <item x="24"/>
        <item x="91"/>
        <item x="68"/>
        <item x="62"/>
        <item x="41"/>
        <item x="80"/>
        <item x="57"/>
        <item x="34"/>
        <item x="65"/>
        <item x="32"/>
        <item x="37"/>
        <item x="64"/>
        <item x="39"/>
        <item x="15"/>
        <item x="26"/>
        <item x="96"/>
        <item x="88"/>
        <item x="76"/>
        <item x="61"/>
        <item x="30"/>
        <item x="73"/>
        <item x="71"/>
        <item x="43"/>
        <item x="35"/>
        <item x="81"/>
        <item x="13"/>
        <item x="47"/>
        <item x="23"/>
        <item x="5"/>
        <item x="21"/>
        <item x="46"/>
        <item x="86"/>
        <item x="7"/>
        <item x="90"/>
        <item x="94"/>
        <item x="19"/>
        <item x="59"/>
        <item x="53"/>
        <item x="25"/>
        <item x="56"/>
        <item x="28"/>
        <item x="4"/>
        <item x="89"/>
        <item x="12"/>
        <item x="27"/>
        <item x="84"/>
        <item x="51"/>
        <item x="97"/>
        <item x="75"/>
        <item x="93"/>
        <item x="98"/>
        <item x="45"/>
        <item x="60"/>
        <item x="31"/>
        <item x="63"/>
        <item x="85"/>
        <item x="9"/>
        <item x="70"/>
        <item x="83"/>
        <item x="20"/>
        <item x="58"/>
        <item x="14"/>
        <item x="40"/>
        <item x="22"/>
        <item x="95"/>
        <item x="42"/>
        <item x="17"/>
        <item x="55"/>
        <item x="36"/>
        <item x="16"/>
        <item x="3"/>
        <item x="69"/>
        <item x="67"/>
        <item x="82"/>
        <item x="72"/>
        <item x="50"/>
        <item x="77"/>
        <item x="92"/>
        <item x="10"/>
        <item x="1"/>
        <item x="52"/>
        <item t="default"/>
      </items>
    </pivotField>
    <pivotField axis="axisRow" showAll="0">
      <items count="6">
        <item x="4"/>
        <item x="2"/>
        <item x="3"/>
        <item x="1"/>
        <item x="0"/>
        <item t="default"/>
      </items>
    </pivotField>
    <pivotField showAll="0">
      <items count="6">
        <item x="2"/>
        <item x="1"/>
        <item x="0"/>
        <item x="3"/>
        <item x="4"/>
        <item t="default"/>
      </items>
    </pivotField>
    <pivotField showAll="0">
      <items count="6">
        <item x="0"/>
        <item x="1"/>
        <item x="3"/>
        <item x="2"/>
        <item x="4"/>
        <item t="default"/>
      </items>
    </pivotField>
    <pivotField showAll="0"/>
    <pivotField showAll="0"/>
    <pivotField dataField="1" showAll="0"/>
  </pivotFields>
  <rowFields count="1">
    <field x="1"/>
  </rowFields>
  <rowItems count="6">
    <i>
      <x/>
    </i>
    <i>
      <x v="1"/>
    </i>
    <i>
      <x v="2"/>
    </i>
    <i>
      <x v="3"/>
    </i>
    <i>
      <x v="4"/>
    </i>
    <i t="grand">
      <x/>
    </i>
  </rowItems>
  <colItems count="1">
    <i/>
  </colItems>
  <pageFields count="1">
    <pageField fld="0" hier="-1"/>
  </pageFields>
  <dataFields count="1">
    <dataField name="Sum of Total Sales" fld="6" baseField="1" baseItem="2" numFmtId="4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G10" firstHeaderRow="1" firstDataRow="2" firstDataCol="1" rowPageCount="1" colPageCount="1"/>
  <pivotFields count="7">
    <pivotField axis="axisPage" showAll="0">
      <items count="100">
        <item x="48"/>
        <item x="79"/>
        <item x="44"/>
        <item x="49"/>
        <item x="74"/>
        <item x="0"/>
        <item x="29"/>
        <item x="66"/>
        <item x="18"/>
        <item x="2"/>
        <item x="33"/>
        <item x="78"/>
        <item x="8"/>
        <item x="11"/>
        <item x="54"/>
        <item x="6"/>
        <item x="38"/>
        <item x="87"/>
        <item x="24"/>
        <item x="91"/>
        <item x="68"/>
        <item x="62"/>
        <item x="41"/>
        <item x="80"/>
        <item x="57"/>
        <item x="34"/>
        <item x="65"/>
        <item x="32"/>
        <item x="37"/>
        <item x="64"/>
        <item x="39"/>
        <item x="15"/>
        <item x="26"/>
        <item x="96"/>
        <item x="88"/>
        <item x="76"/>
        <item x="61"/>
        <item x="30"/>
        <item x="73"/>
        <item x="71"/>
        <item x="43"/>
        <item x="35"/>
        <item x="81"/>
        <item x="13"/>
        <item x="47"/>
        <item x="23"/>
        <item x="5"/>
        <item x="21"/>
        <item x="46"/>
        <item x="86"/>
        <item x="7"/>
        <item x="90"/>
        <item x="94"/>
        <item x="19"/>
        <item x="59"/>
        <item x="53"/>
        <item x="25"/>
        <item x="56"/>
        <item x="28"/>
        <item x="4"/>
        <item x="89"/>
        <item x="12"/>
        <item x="27"/>
        <item x="84"/>
        <item x="51"/>
        <item x="97"/>
        <item x="75"/>
        <item x="93"/>
        <item x="98"/>
        <item x="45"/>
        <item x="60"/>
        <item x="31"/>
        <item x="63"/>
        <item x="85"/>
        <item x="9"/>
        <item x="70"/>
        <item x="83"/>
        <item x="20"/>
        <item x="58"/>
        <item x="14"/>
        <item x="40"/>
        <item x="22"/>
        <item x="95"/>
        <item x="42"/>
        <item x="17"/>
        <item x="55"/>
        <item x="36"/>
        <item x="16"/>
        <item x="3"/>
        <item x="69"/>
        <item x="67"/>
        <item x="82"/>
        <item x="72"/>
        <item x="50"/>
        <item x="77"/>
        <item x="92"/>
        <item x="10"/>
        <item x="1"/>
        <item x="52"/>
        <item t="default"/>
      </items>
    </pivotField>
    <pivotField axis="axisRow" showAll="0">
      <items count="6">
        <item x="4"/>
        <item x="2"/>
        <item x="3"/>
        <item x="1"/>
        <item x="0"/>
        <item t="default"/>
      </items>
    </pivotField>
    <pivotField axis="axisCol" showAll="0">
      <items count="6">
        <item x="2"/>
        <item x="1"/>
        <item x="0"/>
        <item x="3"/>
        <item x="4"/>
        <item t="default"/>
      </items>
    </pivotField>
    <pivotField showAll="0">
      <items count="6">
        <item x="0"/>
        <item x="1"/>
        <item x="3"/>
        <item x="2"/>
        <item x="4"/>
        <item t="default"/>
      </items>
    </pivotField>
    <pivotField showAll="0"/>
    <pivotField showAll="0"/>
    <pivotField dataField="1" showAll="0"/>
  </pivotFields>
  <rowFields count="1">
    <field x="1"/>
  </rowFields>
  <rowItems count="6">
    <i>
      <x/>
    </i>
    <i>
      <x v="1"/>
    </i>
    <i>
      <x v="2"/>
    </i>
    <i>
      <x v="3"/>
    </i>
    <i>
      <x v="4"/>
    </i>
    <i t="grand">
      <x/>
    </i>
  </rowItems>
  <colFields count="1">
    <field x="2"/>
  </colFields>
  <colItems count="6">
    <i>
      <x/>
    </i>
    <i>
      <x v="1"/>
    </i>
    <i>
      <x v="2"/>
    </i>
    <i>
      <x v="3"/>
    </i>
    <i>
      <x v="4"/>
    </i>
    <i t="grand">
      <x/>
    </i>
  </colItems>
  <pageFields count="1">
    <pageField fld="0" hier="-1"/>
  </pageFields>
  <dataFields count="1">
    <dataField name="Sum of Total Sales" fld="6" baseField="1" baseItem="2" numFmtId="44"/>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2" format="10" series="1">
      <pivotArea type="data" outline="0" fieldPosition="0">
        <references count="2">
          <reference field="4294967294" count="1" selected="0">
            <x v="0"/>
          </reference>
          <reference field="2" count="1" selected="0">
            <x v="0"/>
          </reference>
        </references>
      </pivotArea>
    </chartFormat>
    <chartFormat chart="2" format="11" series="1">
      <pivotArea type="data" outline="0" fieldPosition="0">
        <references count="2">
          <reference field="4294967294" count="1" selected="0">
            <x v="0"/>
          </reference>
          <reference field="2" count="1" selected="0">
            <x v="1"/>
          </reference>
        </references>
      </pivotArea>
    </chartFormat>
    <chartFormat chart="2" format="12" series="1">
      <pivotArea type="data" outline="0" fieldPosition="0">
        <references count="2">
          <reference field="4294967294" count="1" selected="0">
            <x v="0"/>
          </reference>
          <reference field="2" count="1" selected="0">
            <x v="2"/>
          </reference>
        </references>
      </pivotArea>
    </chartFormat>
    <chartFormat chart="2" format="13" series="1">
      <pivotArea type="data" outline="0" fieldPosition="0">
        <references count="2">
          <reference field="4294967294" count="1" selected="0">
            <x v="0"/>
          </reference>
          <reference field="2" count="1" selected="0">
            <x v="3"/>
          </reference>
        </references>
      </pivotArea>
    </chartFormat>
    <chartFormat chart="2" format="1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00000000-0013-0000-FFFF-FFFF01000000}" sourceName="Store">
  <pivotTables>
    <pivotTable tabId="4" name="PivotTable1"/>
    <pivotTable tabId="6" name="PivotTable2"/>
    <pivotTable tabId="7" name="PivotTable3"/>
    <pivotTable tabId="8" name="PivotTable1"/>
  </pivotTables>
  <data>
    <tabular pivotCacheId="1">
      <items count="5">
        <i x="4" s="1"/>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2000000}" sourceName="Product">
  <pivotTables>
    <pivotTable tabId="4" name="PivotTable1"/>
    <pivotTable tabId="6" name="PivotTable2"/>
    <pivotTable tabId="7" name="PivotTable3"/>
    <pivotTable tabId="8" name="PivotTable1"/>
  </pivotTables>
  <data>
    <tabular pivotCacheId="1">
      <items count="5">
        <i x="0" s="1"/>
        <i x="1"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0000000-0013-0000-FFFF-FFFF03000000}" sourceName="Salesperson">
  <pivotTables>
    <pivotTable tabId="4" name="PivotTable1"/>
    <pivotTable tabId="6" name="PivotTable2"/>
    <pivotTable tabId="7" name="PivotTable3"/>
    <pivotTable tabId="8" name="PivotTable1"/>
  </pivotTables>
  <data>
    <tabular pivotCacheId="1">
      <items count="5">
        <i x="2" s="1"/>
        <i x="1" s="1"/>
        <i x="0"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0000000-0013-0000-FFFF-FFFF04000000}" sourceName="Date">
  <pivotTables>
    <pivotTable tabId="4" name="PivotTable1"/>
    <pivotTable tabId="6" name="PivotTable2"/>
    <pivotTable tabId="7" name="PivotTable3"/>
    <pivotTable tabId="8" name="PivotTable1"/>
  </pivotTables>
  <data>
    <tabular pivotCacheId="1">
      <items count="99">
        <i x="48" s="1"/>
        <i x="79" s="1"/>
        <i x="44" s="1"/>
        <i x="49" s="1"/>
        <i x="74" s="1"/>
        <i x="0" s="1"/>
        <i x="29" s="1"/>
        <i x="66" s="1"/>
        <i x="18" s="1"/>
        <i x="2" s="1"/>
        <i x="33" s="1"/>
        <i x="78" s="1"/>
        <i x="8" s="1"/>
        <i x="11" s="1"/>
        <i x="54" s="1"/>
        <i x="6" s="1"/>
        <i x="38" s="1"/>
        <i x="87" s="1"/>
        <i x="24" s="1"/>
        <i x="91" s="1"/>
        <i x="68" s="1"/>
        <i x="62" s="1"/>
        <i x="41" s="1"/>
        <i x="80" s="1"/>
        <i x="57" s="1"/>
        <i x="34" s="1"/>
        <i x="65" s="1"/>
        <i x="32" s="1"/>
        <i x="37" s="1"/>
        <i x="64" s="1"/>
        <i x="39" s="1"/>
        <i x="15" s="1"/>
        <i x="26" s="1"/>
        <i x="96" s="1"/>
        <i x="88" s="1"/>
        <i x="76" s="1"/>
        <i x="61" s="1"/>
        <i x="30" s="1"/>
        <i x="73" s="1"/>
        <i x="71" s="1"/>
        <i x="43" s="1"/>
        <i x="35" s="1"/>
        <i x="81" s="1"/>
        <i x="13" s="1"/>
        <i x="47" s="1"/>
        <i x="23" s="1"/>
        <i x="5" s="1"/>
        <i x="21" s="1"/>
        <i x="46" s="1"/>
        <i x="86" s="1"/>
        <i x="7" s="1"/>
        <i x="90" s="1"/>
        <i x="94" s="1"/>
        <i x="19" s="1"/>
        <i x="59" s="1"/>
        <i x="53" s="1"/>
        <i x="25" s="1"/>
        <i x="56" s="1"/>
        <i x="28" s="1"/>
        <i x="4" s="1"/>
        <i x="89" s="1"/>
        <i x="12" s="1"/>
        <i x="27" s="1"/>
        <i x="84" s="1"/>
        <i x="51" s="1"/>
        <i x="97" s="1"/>
        <i x="75" s="1"/>
        <i x="93" s="1"/>
        <i x="98" s="1"/>
        <i x="45" s="1"/>
        <i x="60" s="1"/>
        <i x="31" s="1"/>
        <i x="63" s="1"/>
        <i x="85" s="1"/>
        <i x="9" s="1"/>
        <i x="70" s="1"/>
        <i x="83" s="1"/>
        <i x="20" s="1"/>
        <i x="58" s="1"/>
        <i x="14" s="1"/>
        <i x="40" s="1"/>
        <i x="22" s="1"/>
        <i x="95" s="1"/>
        <i x="42" s="1"/>
        <i x="17" s="1"/>
        <i x="55" s="1"/>
        <i x="36" s="1"/>
        <i x="16" s="1"/>
        <i x="3" s="1"/>
        <i x="69" s="1"/>
        <i x="67" s="1"/>
        <i x="82" s="1"/>
        <i x="72" s="1"/>
        <i x="50" s="1"/>
        <i x="77" s="1"/>
        <i x="92" s="1"/>
        <i x="10" s="1"/>
        <i x="1" s="1"/>
        <i x="5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00000000-0014-0000-FFFF-FFFF01000000}" cache="Slicer_Store" caption="Store" columnCount="3" rowHeight="230716"/>
  <slicer name="Product" xr10:uid="{00000000-0014-0000-FFFF-FFFF02000000}" cache="Slicer_Product" caption="Product" columnCount="3" rowHeight="230716"/>
  <slicer name="Salesperson" xr10:uid="{00000000-0014-0000-FFFF-FFFF03000000}" cache="Slicer_Salesperson" caption="Salesperson" columnCount="3" rowHeight="230716"/>
  <slicer name="Date" xr10:uid="{00000000-0014-0000-FFFF-FFFF04000000}" cache="Slicer_Date" caption="Dat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101" totalsRowShown="0">
  <autoFilter ref="A1:G101" xr:uid="{00000000-0009-0000-0100-000001000000}"/>
  <tableColumns count="7">
    <tableColumn id="1" xr3:uid="{00000000-0010-0000-0000-000001000000}" name="Date"/>
    <tableColumn id="2" xr3:uid="{00000000-0010-0000-0000-000002000000}" name="Store"/>
    <tableColumn id="3" xr3:uid="{00000000-0010-0000-0000-000003000000}" name="Salesperson"/>
    <tableColumn id="4" xr3:uid="{00000000-0010-0000-0000-000004000000}" name="Product"/>
    <tableColumn id="5" xr3:uid="{00000000-0010-0000-0000-000005000000}" name="Quantity"/>
    <tableColumn id="6" xr3:uid="{00000000-0010-0000-0000-000006000000}" name="Prices"/>
    <tableColumn id="7" xr3:uid="{00000000-0010-0000-0000-000007000000}" name="Total Sale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103"/>
  <sheetViews>
    <sheetView workbookViewId="0">
      <selection activeCell="A7" sqref="A7"/>
    </sheetView>
  </sheetViews>
  <sheetFormatPr defaultRowHeight="14" x14ac:dyDescent="0.3"/>
  <cols>
    <col min="1" max="1" width="12.9140625" customWidth="1"/>
    <col min="2" max="2" width="17" bestFit="1" customWidth="1"/>
  </cols>
  <sheetData>
    <row r="3" spans="1:2" x14ac:dyDescent="0.3">
      <c r="A3" s="1" t="s">
        <v>121</v>
      </c>
      <c r="B3" t="s">
        <v>123</v>
      </c>
    </row>
    <row r="4" spans="1:2" x14ac:dyDescent="0.3">
      <c r="A4" s="2" t="s">
        <v>70</v>
      </c>
      <c r="B4" s="3">
        <v>895232.7</v>
      </c>
    </row>
    <row r="5" spans="1:2" x14ac:dyDescent="0.3">
      <c r="A5" s="2" t="s">
        <v>101</v>
      </c>
      <c r="B5" s="3">
        <v>285495.78000000003</v>
      </c>
    </row>
    <row r="6" spans="1:2" x14ac:dyDescent="0.3">
      <c r="A6" s="2" t="s">
        <v>66</v>
      </c>
      <c r="B6" s="3">
        <v>639777.77</v>
      </c>
    </row>
    <row r="7" spans="1:2" x14ac:dyDescent="0.3">
      <c r="A7" s="2" t="s">
        <v>71</v>
      </c>
      <c r="B7" s="3">
        <v>52413.16</v>
      </c>
    </row>
    <row r="8" spans="1:2" x14ac:dyDescent="0.3">
      <c r="A8" s="2" t="s">
        <v>96</v>
      </c>
      <c r="B8" s="3">
        <v>567469.55000000005</v>
      </c>
    </row>
    <row r="9" spans="1:2" x14ac:dyDescent="0.3">
      <c r="A9" s="2" t="s">
        <v>7</v>
      </c>
      <c r="B9" s="3">
        <v>627758.81999999995</v>
      </c>
    </row>
    <row r="10" spans="1:2" x14ac:dyDescent="0.3">
      <c r="A10" s="2" t="s">
        <v>51</v>
      </c>
      <c r="B10" s="3">
        <v>605465.56000000006</v>
      </c>
    </row>
    <row r="11" spans="1:2" x14ac:dyDescent="0.3">
      <c r="A11" s="2" t="s">
        <v>88</v>
      </c>
      <c r="B11" s="3">
        <v>823039.91</v>
      </c>
    </row>
    <row r="12" spans="1:2" x14ac:dyDescent="0.3">
      <c r="A12" s="2" t="s">
        <v>40</v>
      </c>
      <c r="B12" s="3">
        <v>710898.87</v>
      </c>
    </row>
    <row r="13" spans="1:2" x14ac:dyDescent="0.3">
      <c r="A13" s="2" t="s">
        <v>14</v>
      </c>
      <c r="B13" s="3">
        <v>235519.59</v>
      </c>
    </row>
    <row r="14" spans="1:2" x14ac:dyDescent="0.3">
      <c r="A14" s="2" t="s">
        <v>55</v>
      </c>
      <c r="B14" s="3">
        <v>449800.86</v>
      </c>
    </row>
    <row r="15" spans="1:2" x14ac:dyDescent="0.3">
      <c r="A15" s="2" t="s">
        <v>100</v>
      </c>
      <c r="B15" s="3">
        <v>146387.65</v>
      </c>
    </row>
    <row r="16" spans="1:2" x14ac:dyDescent="0.3">
      <c r="A16" s="2" t="s">
        <v>26</v>
      </c>
      <c r="B16" s="3">
        <v>681017.14</v>
      </c>
    </row>
    <row r="17" spans="1:2" x14ac:dyDescent="0.3">
      <c r="A17" s="2" t="s">
        <v>30</v>
      </c>
      <c r="B17" s="3">
        <v>8524.67</v>
      </c>
    </row>
    <row r="18" spans="1:2" x14ac:dyDescent="0.3">
      <c r="A18" s="2" t="s">
        <v>76</v>
      </c>
      <c r="B18" s="3">
        <v>999296.57</v>
      </c>
    </row>
    <row r="19" spans="1:2" x14ac:dyDescent="0.3">
      <c r="A19" s="2" t="s">
        <v>23</v>
      </c>
      <c r="B19" s="3">
        <v>907926.7</v>
      </c>
    </row>
    <row r="20" spans="1:2" x14ac:dyDescent="0.3">
      <c r="A20" s="2" t="s">
        <v>60</v>
      </c>
      <c r="B20" s="3">
        <v>440468.37</v>
      </c>
    </row>
    <row r="21" spans="1:2" x14ac:dyDescent="0.3">
      <c r="A21" s="2" t="s">
        <v>109</v>
      </c>
      <c r="B21" s="3">
        <v>299541.84999999998</v>
      </c>
    </row>
    <row r="22" spans="1:2" x14ac:dyDescent="0.3">
      <c r="A22" s="2" t="s">
        <v>46</v>
      </c>
      <c r="B22" s="3">
        <v>478010.39</v>
      </c>
    </row>
    <row r="23" spans="1:2" x14ac:dyDescent="0.3">
      <c r="A23" s="2" t="s">
        <v>113</v>
      </c>
      <c r="B23" s="3">
        <v>1605.16</v>
      </c>
    </row>
    <row r="24" spans="1:2" x14ac:dyDescent="0.3">
      <c r="A24" s="2" t="s">
        <v>90</v>
      </c>
      <c r="B24" s="3">
        <v>148816.20000000001</v>
      </c>
    </row>
    <row r="25" spans="1:2" x14ac:dyDescent="0.3">
      <c r="A25" s="2" t="s">
        <v>84</v>
      </c>
      <c r="B25" s="3">
        <v>895738.94</v>
      </c>
    </row>
    <row r="26" spans="1:2" x14ac:dyDescent="0.3">
      <c r="A26" s="2" t="s">
        <v>63</v>
      </c>
      <c r="B26" s="3">
        <v>520508.46</v>
      </c>
    </row>
    <row r="27" spans="1:2" x14ac:dyDescent="0.3">
      <c r="A27" s="2" t="s">
        <v>102</v>
      </c>
      <c r="B27" s="3">
        <v>197715.93</v>
      </c>
    </row>
    <row r="28" spans="1:2" x14ac:dyDescent="0.3">
      <c r="A28" s="2" t="s">
        <v>79</v>
      </c>
      <c r="B28" s="3">
        <v>113177.34</v>
      </c>
    </row>
    <row r="29" spans="1:2" x14ac:dyDescent="0.3">
      <c r="A29" s="2" t="s">
        <v>56</v>
      </c>
      <c r="B29" s="3">
        <v>746579.49</v>
      </c>
    </row>
    <row r="30" spans="1:2" x14ac:dyDescent="0.3">
      <c r="A30" s="2" t="s">
        <v>87</v>
      </c>
      <c r="B30" s="3">
        <v>827659.33</v>
      </c>
    </row>
    <row r="31" spans="1:2" x14ac:dyDescent="0.3">
      <c r="A31" s="2" t="s">
        <v>54</v>
      </c>
      <c r="B31" s="3">
        <v>407083.31</v>
      </c>
    </row>
    <row r="32" spans="1:2" x14ac:dyDescent="0.3">
      <c r="A32" s="2" t="s">
        <v>59</v>
      </c>
      <c r="B32" s="3">
        <v>565504.94999999995</v>
      </c>
    </row>
    <row r="33" spans="1:2" x14ac:dyDescent="0.3">
      <c r="A33" s="2" t="s">
        <v>86</v>
      </c>
      <c r="B33" s="3">
        <v>970167.22</v>
      </c>
    </row>
    <row r="34" spans="1:2" x14ac:dyDescent="0.3">
      <c r="A34" s="2" t="s">
        <v>61</v>
      </c>
      <c r="B34" s="3">
        <v>368711.57</v>
      </c>
    </row>
    <row r="35" spans="1:2" x14ac:dyDescent="0.3">
      <c r="A35" s="2" t="s">
        <v>37</v>
      </c>
      <c r="B35" s="3">
        <v>409421.93</v>
      </c>
    </row>
    <row r="36" spans="1:2" x14ac:dyDescent="0.3">
      <c r="A36" s="2" t="s">
        <v>48</v>
      </c>
      <c r="B36" s="3">
        <v>727343.54</v>
      </c>
    </row>
    <row r="37" spans="1:2" x14ac:dyDescent="0.3">
      <c r="A37" s="2" t="s">
        <v>118</v>
      </c>
      <c r="B37" s="3">
        <v>342659.15</v>
      </c>
    </row>
    <row r="38" spans="1:2" x14ac:dyDescent="0.3">
      <c r="A38" s="2" t="s">
        <v>110</v>
      </c>
      <c r="B38" s="3">
        <v>699963.74</v>
      </c>
    </row>
    <row r="39" spans="1:2" x14ac:dyDescent="0.3">
      <c r="A39" s="2" t="s">
        <v>98</v>
      </c>
      <c r="B39" s="3">
        <v>358555.26</v>
      </c>
    </row>
    <row r="40" spans="1:2" x14ac:dyDescent="0.3">
      <c r="A40" s="2" t="s">
        <v>83</v>
      </c>
      <c r="B40" s="3">
        <v>827262.41</v>
      </c>
    </row>
    <row r="41" spans="1:2" x14ac:dyDescent="0.3">
      <c r="A41" s="2" t="s">
        <v>52</v>
      </c>
      <c r="B41" s="3">
        <v>924683.68</v>
      </c>
    </row>
    <row r="42" spans="1:2" x14ac:dyDescent="0.3">
      <c r="A42" s="2" t="s">
        <v>95</v>
      </c>
      <c r="B42" s="3">
        <v>917910.55</v>
      </c>
    </row>
    <row r="43" spans="1:2" x14ac:dyDescent="0.3">
      <c r="A43" s="2" t="s">
        <v>93</v>
      </c>
      <c r="B43" s="3">
        <v>393323.53</v>
      </c>
    </row>
    <row r="44" spans="1:2" x14ac:dyDescent="0.3">
      <c r="A44" s="2" t="s">
        <v>65</v>
      </c>
      <c r="B44" s="3">
        <v>880938.96</v>
      </c>
    </row>
    <row r="45" spans="1:2" x14ac:dyDescent="0.3">
      <c r="A45" s="2" t="s">
        <v>57</v>
      </c>
      <c r="B45" s="3">
        <v>598370.22</v>
      </c>
    </row>
    <row r="46" spans="1:2" x14ac:dyDescent="0.3">
      <c r="A46" s="2" t="s">
        <v>103</v>
      </c>
      <c r="B46" s="3">
        <v>894777.59</v>
      </c>
    </row>
    <row r="47" spans="1:2" x14ac:dyDescent="0.3">
      <c r="A47" s="2" t="s">
        <v>33</v>
      </c>
      <c r="B47" s="3">
        <v>569295.52</v>
      </c>
    </row>
    <row r="48" spans="1:2" x14ac:dyDescent="0.3">
      <c r="A48" s="2" t="s">
        <v>69</v>
      </c>
      <c r="B48" s="3">
        <v>551576.93000000005</v>
      </c>
    </row>
    <row r="49" spans="1:2" x14ac:dyDescent="0.3">
      <c r="A49" s="2" t="s">
        <v>45</v>
      </c>
      <c r="B49" s="3">
        <v>2898.92</v>
      </c>
    </row>
    <row r="50" spans="1:2" x14ac:dyDescent="0.3">
      <c r="A50" s="2" t="s">
        <v>22</v>
      </c>
      <c r="B50" s="3">
        <v>723073.36</v>
      </c>
    </row>
    <row r="51" spans="1:2" x14ac:dyDescent="0.3">
      <c r="A51" s="2" t="s">
        <v>43</v>
      </c>
      <c r="B51" s="3">
        <v>884483.82</v>
      </c>
    </row>
    <row r="52" spans="1:2" x14ac:dyDescent="0.3">
      <c r="A52" s="2" t="s">
        <v>68</v>
      </c>
      <c r="B52" s="3">
        <v>617727.68999999994</v>
      </c>
    </row>
    <row r="53" spans="1:2" x14ac:dyDescent="0.3">
      <c r="A53" s="2" t="s">
        <v>108</v>
      </c>
      <c r="B53" s="3">
        <v>271341.65000000002</v>
      </c>
    </row>
    <row r="54" spans="1:2" x14ac:dyDescent="0.3">
      <c r="A54" s="2" t="s">
        <v>24</v>
      </c>
      <c r="B54" s="3">
        <v>96291.12</v>
      </c>
    </row>
    <row r="55" spans="1:2" x14ac:dyDescent="0.3">
      <c r="A55" s="2" t="s">
        <v>112</v>
      </c>
      <c r="B55" s="3">
        <v>982257.62</v>
      </c>
    </row>
    <row r="56" spans="1:2" x14ac:dyDescent="0.3">
      <c r="A56" s="2" t="s">
        <v>116</v>
      </c>
      <c r="B56" s="3">
        <v>662704.18999999994</v>
      </c>
    </row>
    <row r="57" spans="1:2" x14ac:dyDescent="0.3">
      <c r="A57" s="2" t="s">
        <v>41</v>
      </c>
      <c r="B57" s="3">
        <v>371247.33</v>
      </c>
    </row>
    <row r="58" spans="1:2" x14ac:dyDescent="0.3">
      <c r="A58" s="2" t="s">
        <v>81</v>
      </c>
      <c r="B58" s="3">
        <v>495025.94</v>
      </c>
    </row>
    <row r="59" spans="1:2" x14ac:dyDescent="0.3">
      <c r="A59" s="2" t="s">
        <v>75</v>
      </c>
      <c r="B59" s="3">
        <v>57238.69</v>
      </c>
    </row>
    <row r="60" spans="1:2" x14ac:dyDescent="0.3">
      <c r="A60" s="2" t="s">
        <v>47</v>
      </c>
      <c r="B60" s="3">
        <v>372117.06</v>
      </c>
    </row>
    <row r="61" spans="1:2" x14ac:dyDescent="0.3">
      <c r="A61" s="2" t="s">
        <v>78</v>
      </c>
      <c r="B61" s="3">
        <v>698761.62</v>
      </c>
    </row>
    <row r="62" spans="1:2" x14ac:dyDescent="0.3">
      <c r="A62" s="2" t="s">
        <v>50</v>
      </c>
      <c r="B62" s="3">
        <v>416650.74</v>
      </c>
    </row>
    <row r="63" spans="1:2" x14ac:dyDescent="0.3">
      <c r="A63" s="2" t="s">
        <v>20</v>
      </c>
      <c r="B63" s="3">
        <v>319098.27</v>
      </c>
    </row>
    <row r="64" spans="1:2" x14ac:dyDescent="0.3">
      <c r="A64" s="2" t="s">
        <v>111</v>
      </c>
      <c r="B64" s="3">
        <v>100756.01</v>
      </c>
    </row>
    <row r="65" spans="1:2" x14ac:dyDescent="0.3">
      <c r="A65" s="2" t="s">
        <v>31</v>
      </c>
      <c r="B65" s="3">
        <v>165274.94</v>
      </c>
    </row>
    <row r="66" spans="1:2" x14ac:dyDescent="0.3">
      <c r="A66" s="2" t="s">
        <v>49</v>
      </c>
      <c r="B66" s="3">
        <v>468209.59</v>
      </c>
    </row>
    <row r="67" spans="1:2" x14ac:dyDescent="0.3">
      <c r="A67" s="2" t="s">
        <v>106</v>
      </c>
      <c r="B67" s="3">
        <v>974017.79</v>
      </c>
    </row>
    <row r="68" spans="1:2" x14ac:dyDescent="0.3">
      <c r="A68" s="2" t="s">
        <v>73</v>
      </c>
      <c r="B68" s="3">
        <v>446184.8</v>
      </c>
    </row>
    <row r="69" spans="1:2" x14ac:dyDescent="0.3">
      <c r="A69" s="2" t="s">
        <v>119</v>
      </c>
      <c r="B69" s="3">
        <v>748758.65</v>
      </c>
    </row>
    <row r="70" spans="1:2" x14ac:dyDescent="0.3">
      <c r="A70" s="2" t="s">
        <v>97</v>
      </c>
      <c r="B70" s="3">
        <v>685621.49</v>
      </c>
    </row>
    <row r="71" spans="1:2" x14ac:dyDescent="0.3">
      <c r="A71" s="2" t="s">
        <v>115</v>
      </c>
      <c r="B71" s="3">
        <v>392279.89</v>
      </c>
    </row>
    <row r="72" spans="1:2" x14ac:dyDescent="0.3">
      <c r="A72" s="2" t="s">
        <v>120</v>
      </c>
      <c r="B72" s="3">
        <v>62711.43</v>
      </c>
    </row>
    <row r="73" spans="1:2" x14ac:dyDescent="0.3">
      <c r="A73" s="2" t="s">
        <v>67</v>
      </c>
      <c r="B73" s="3">
        <v>432409.76</v>
      </c>
    </row>
    <row r="74" spans="1:2" x14ac:dyDescent="0.3">
      <c r="A74" s="2" t="s">
        <v>82</v>
      </c>
      <c r="B74" s="3">
        <v>741443.56</v>
      </c>
    </row>
    <row r="75" spans="1:2" x14ac:dyDescent="0.3">
      <c r="A75" s="2" t="s">
        <v>53</v>
      </c>
      <c r="B75" s="3">
        <v>913102.28</v>
      </c>
    </row>
    <row r="76" spans="1:2" x14ac:dyDescent="0.3">
      <c r="A76" s="2" t="s">
        <v>85</v>
      </c>
      <c r="B76" s="3">
        <v>797689.03</v>
      </c>
    </row>
    <row r="77" spans="1:2" x14ac:dyDescent="0.3">
      <c r="A77" s="2" t="s">
        <v>107</v>
      </c>
      <c r="B77" s="3">
        <v>305291.75</v>
      </c>
    </row>
    <row r="78" spans="1:2" x14ac:dyDescent="0.3">
      <c r="A78" s="2" t="s">
        <v>27</v>
      </c>
      <c r="B78" s="3">
        <v>366739.82</v>
      </c>
    </row>
    <row r="79" spans="1:2" x14ac:dyDescent="0.3">
      <c r="A79" s="2" t="s">
        <v>92</v>
      </c>
      <c r="B79" s="3">
        <v>430244.69</v>
      </c>
    </row>
    <row r="80" spans="1:2" x14ac:dyDescent="0.3">
      <c r="A80" s="2" t="s">
        <v>105</v>
      </c>
      <c r="B80" s="3">
        <v>383697.86</v>
      </c>
    </row>
    <row r="81" spans="1:2" x14ac:dyDescent="0.3">
      <c r="A81" s="2" t="s">
        <v>42</v>
      </c>
      <c r="B81" s="3">
        <v>316893.15000000002</v>
      </c>
    </row>
    <row r="82" spans="1:2" x14ac:dyDescent="0.3">
      <c r="A82" s="2" t="s">
        <v>80</v>
      </c>
      <c r="B82" s="3">
        <v>963658.45</v>
      </c>
    </row>
    <row r="83" spans="1:2" x14ac:dyDescent="0.3">
      <c r="A83" s="2" t="s">
        <v>36</v>
      </c>
      <c r="B83" s="3">
        <v>102257.87</v>
      </c>
    </row>
    <row r="84" spans="1:2" x14ac:dyDescent="0.3">
      <c r="A84" s="2" t="s">
        <v>62</v>
      </c>
      <c r="B84" s="3">
        <v>733044.02</v>
      </c>
    </row>
    <row r="85" spans="1:2" x14ac:dyDescent="0.3">
      <c r="A85" s="2" t="s">
        <v>44</v>
      </c>
      <c r="B85" s="3">
        <v>659643.06000000006</v>
      </c>
    </row>
    <row r="86" spans="1:2" x14ac:dyDescent="0.3">
      <c r="A86" s="2" t="s">
        <v>117</v>
      </c>
      <c r="B86" s="3">
        <v>971463.6</v>
      </c>
    </row>
    <row r="87" spans="1:2" x14ac:dyDescent="0.3">
      <c r="A87" s="2" t="s">
        <v>64</v>
      </c>
      <c r="B87" s="3">
        <v>657531.4</v>
      </c>
    </row>
    <row r="88" spans="1:2" x14ac:dyDescent="0.3">
      <c r="A88" s="2" t="s">
        <v>39</v>
      </c>
      <c r="B88" s="3">
        <v>517034.66</v>
      </c>
    </row>
    <row r="89" spans="1:2" x14ac:dyDescent="0.3">
      <c r="A89" s="2" t="s">
        <v>77</v>
      </c>
      <c r="B89" s="3">
        <v>432714.06</v>
      </c>
    </row>
    <row r="90" spans="1:2" x14ac:dyDescent="0.3">
      <c r="A90" s="2" t="s">
        <v>58</v>
      </c>
      <c r="B90" s="3">
        <v>359099.47</v>
      </c>
    </row>
    <row r="91" spans="1:2" x14ac:dyDescent="0.3">
      <c r="A91" s="2" t="s">
        <v>38</v>
      </c>
      <c r="B91" s="3">
        <v>231149.32</v>
      </c>
    </row>
    <row r="92" spans="1:2" x14ac:dyDescent="0.3">
      <c r="A92" s="2" t="s">
        <v>16</v>
      </c>
      <c r="B92" s="3">
        <v>459415.66</v>
      </c>
    </row>
    <row r="93" spans="1:2" x14ac:dyDescent="0.3">
      <c r="A93" s="2" t="s">
        <v>91</v>
      </c>
      <c r="B93" s="3">
        <v>70705.45</v>
      </c>
    </row>
    <row r="94" spans="1:2" x14ac:dyDescent="0.3">
      <c r="A94" s="2" t="s">
        <v>89</v>
      </c>
      <c r="B94" s="3">
        <v>782886.07</v>
      </c>
    </row>
    <row r="95" spans="1:2" x14ac:dyDescent="0.3">
      <c r="A95" s="2" t="s">
        <v>104</v>
      </c>
      <c r="B95" s="3">
        <v>6959.24</v>
      </c>
    </row>
    <row r="96" spans="1:2" x14ac:dyDescent="0.3">
      <c r="A96" s="2" t="s">
        <v>94</v>
      </c>
      <c r="B96" s="3">
        <v>26790.52</v>
      </c>
    </row>
    <row r="97" spans="1:2" x14ac:dyDescent="0.3">
      <c r="A97" s="2" t="s">
        <v>72</v>
      </c>
      <c r="B97" s="3">
        <v>229147.63</v>
      </c>
    </row>
    <row r="98" spans="1:2" x14ac:dyDescent="0.3">
      <c r="A98" s="2" t="s">
        <v>99</v>
      </c>
      <c r="B98" s="3">
        <v>113990.23</v>
      </c>
    </row>
    <row r="99" spans="1:2" x14ac:dyDescent="0.3">
      <c r="A99" s="2" t="s">
        <v>114</v>
      </c>
      <c r="B99" s="3">
        <v>165632.13</v>
      </c>
    </row>
    <row r="100" spans="1:2" x14ac:dyDescent="0.3">
      <c r="A100" s="2" t="s">
        <v>29</v>
      </c>
      <c r="B100" s="3">
        <v>410063.99</v>
      </c>
    </row>
    <row r="101" spans="1:2" x14ac:dyDescent="0.3">
      <c r="A101" s="2" t="s">
        <v>11</v>
      </c>
      <c r="B101" s="3">
        <v>675580.2</v>
      </c>
    </row>
    <row r="102" spans="1:2" x14ac:dyDescent="0.3">
      <c r="A102" s="2" t="s">
        <v>74</v>
      </c>
      <c r="B102" s="3">
        <v>81170.22</v>
      </c>
    </row>
    <row r="103" spans="1:2" x14ac:dyDescent="0.3">
      <c r="A103" s="2" t="s">
        <v>122</v>
      </c>
      <c r="B103" s="3">
        <v>49065578.580000021</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activeCell="J4" sqref="J4"/>
    </sheetView>
  </sheetViews>
  <sheetFormatPr defaultRowHeight="14" x14ac:dyDescent="0.3"/>
  <cols>
    <col min="1" max="1" width="12.9140625" customWidth="1"/>
    <col min="2" max="2" width="17" bestFit="1" customWidth="1"/>
  </cols>
  <sheetData>
    <row r="1" spans="1:2" x14ac:dyDescent="0.3">
      <c r="A1" s="1" t="s">
        <v>0</v>
      </c>
      <c r="B1" t="s">
        <v>126</v>
      </c>
    </row>
    <row r="3" spans="1:2" x14ac:dyDescent="0.3">
      <c r="A3" s="1" t="s">
        <v>121</v>
      </c>
      <c r="B3" t="s">
        <v>123</v>
      </c>
    </row>
    <row r="4" spans="1:2" x14ac:dyDescent="0.3">
      <c r="A4" s="2" t="s">
        <v>10</v>
      </c>
      <c r="B4" s="3">
        <v>10191130.810000002</v>
      </c>
    </row>
    <row r="5" spans="1:2" x14ac:dyDescent="0.3">
      <c r="A5" s="2" t="s">
        <v>13</v>
      </c>
      <c r="B5" s="3">
        <v>9365384.5700000003</v>
      </c>
    </row>
    <row r="6" spans="1:2" x14ac:dyDescent="0.3">
      <c r="A6" s="2" t="s">
        <v>25</v>
      </c>
      <c r="B6" s="3">
        <v>9474108.7599999998</v>
      </c>
    </row>
    <row r="7" spans="1:2" x14ac:dyDescent="0.3">
      <c r="A7" s="2" t="s">
        <v>19</v>
      </c>
      <c r="B7" s="3">
        <v>12490006.869999999</v>
      </c>
    </row>
    <row r="8" spans="1:2" x14ac:dyDescent="0.3">
      <c r="A8" s="2" t="s">
        <v>35</v>
      </c>
      <c r="B8" s="3">
        <v>7544947.5699999994</v>
      </c>
    </row>
    <row r="9" spans="1:2" x14ac:dyDescent="0.3">
      <c r="A9" s="2" t="s">
        <v>122</v>
      </c>
      <c r="B9" s="3">
        <v>49065578.579999998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activeCell="B6" sqref="B6"/>
    </sheetView>
  </sheetViews>
  <sheetFormatPr defaultRowHeight="14" x14ac:dyDescent="0.3"/>
  <cols>
    <col min="1" max="1" width="12.9140625" bestFit="1" customWidth="1"/>
    <col min="2" max="2" width="17" bestFit="1" customWidth="1"/>
  </cols>
  <sheetData>
    <row r="1" spans="1:2" x14ac:dyDescent="0.3">
      <c r="A1" s="1" t="s">
        <v>0</v>
      </c>
      <c r="B1" t="s">
        <v>126</v>
      </c>
    </row>
    <row r="3" spans="1:2" x14ac:dyDescent="0.3">
      <c r="A3" s="1" t="s">
        <v>121</v>
      </c>
      <c r="B3" t="s">
        <v>123</v>
      </c>
    </row>
    <row r="4" spans="1:2" x14ac:dyDescent="0.3">
      <c r="A4" s="2" t="s">
        <v>34</v>
      </c>
      <c r="B4" s="3">
        <v>10731896.469999999</v>
      </c>
    </row>
    <row r="5" spans="1:2" x14ac:dyDescent="0.3">
      <c r="A5" s="2" t="s">
        <v>17</v>
      </c>
      <c r="B5" s="3">
        <v>11938896.440000001</v>
      </c>
    </row>
    <row r="6" spans="1:2" x14ac:dyDescent="0.3">
      <c r="A6" s="2" t="s">
        <v>28</v>
      </c>
      <c r="B6" s="3">
        <v>8372323.9800000004</v>
      </c>
    </row>
    <row r="7" spans="1:2" x14ac:dyDescent="0.3">
      <c r="A7" s="2" t="s">
        <v>12</v>
      </c>
      <c r="B7" s="3">
        <v>9101148.1499999985</v>
      </c>
    </row>
    <row r="8" spans="1:2" x14ac:dyDescent="0.3">
      <c r="A8" s="2" t="s">
        <v>8</v>
      </c>
      <c r="B8" s="3">
        <v>8921313.5400000028</v>
      </c>
    </row>
    <row r="9" spans="1:2" x14ac:dyDescent="0.3">
      <c r="A9" s="2" t="s">
        <v>122</v>
      </c>
      <c r="B9" s="3">
        <v>49065578.579999998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workbookViewId="0">
      <selection activeCell="D5" sqref="D5"/>
    </sheetView>
  </sheetViews>
  <sheetFormatPr defaultRowHeight="14" x14ac:dyDescent="0.3"/>
  <cols>
    <col min="1" max="1" width="17" bestFit="1" customWidth="1"/>
    <col min="2" max="2" width="15.58203125" bestFit="1" customWidth="1"/>
    <col min="3" max="3" width="13.5" bestFit="1" customWidth="1"/>
    <col min="4" max="5" width="14.5" bestFit="1" customWidth="1"/>
    <col min="6" max="6" width="13.5" bestFit="1" customWidth="1"/>
    <col min="7" max="7" width="14.5" bestFit="1" customWidth="1"/>
  </cols>
  <sheetData>
    <row r="1" spans="1:7" x14ac:dyDescent="0.3">
      <c r="A1" s="1" t="s">
        <v>0</v>
      </c>
      <c r="B1" t="s">
        <v>126</v>
      </c>
    </row>
    <row r="3" spans="1:7" x14ac:dyDescent="0.3">
      <c r="A3" s="1" t="s">
        <v>123</v>
      </c>
      <c r="B3" s="1" t="s">
        <v>124</v>
      </c>
    </row>
    <row r="4" spans="1:7" x14ac:dyDescent="0.3">
      <c r="A4" s="1" t="s">
        <v>121</v>
      </c>
      <c r="B4" t="s">
        <v>18</v>
      </c>
      <c r="C4" t="s">
        <v>15</v>
      </c>
      <c r="D4" t="s">
        <v>9</v>
      </c>
      <c r="E4" t="s">
        <v>21</v>
      </c>
      <c r="F4" t="s">
        <v>32</v>
      </c>
      <c r="G4" t="s">
        <v>122</v>
      </c>
    </row>
    <row r="5" spans="1:7" x14ac:dyDescent="0.3">
      <c r="A5" s="2" t="s">
        <v>34</v>
      </c>
      <c r="B5" s="3">
        <v>1986823.75</v>
      </c>
      <c r="C5" s="3">
        <v>908677.96</v>
      </c>
      <c r="D5" s="3">
        <v>1912275.8399999999</v>
      </c>
      <c r="E5" s="3">
        <v>2717588.0100000002</v>
      </c>
      <c r="F5" s="3">
        <v>3206530.91</v>
      </c>
      <c r="G5" s="3">
        <v>10731896.470000001</v>
      </c>
    </row>
    <row r="6" spans="1:7" x14ac:dyDescent="0.3">
      <c r="A6" s="2" t="s">
        <v>17</v>
      </c>
      <c r="B6" s="3">
        <v>2104669.75</v>
      </c>
      <c r="C6" s="3">
        <v>2088481.7000000002</v>
      </c>
      <c r="D6" s="3">
        <v>3330487.07</v>
      </c>
      <c r="E6" s="3">
        <v>2399643.64</v>
      </c>
      <c r="F6" s="3">
        <v>2015614.2799999998</v>
      </c>
      <c r="G6" s="3">
        <v>11938896.439999999</v>
      </c>
    </row>
    <row r="7" spans="1:7" x14ac:dyDescent="0.3">
      <c r="A7" s="2" t="s">
        <v>28</v>
      </c>
      <c r="B7" s="3">
        <v>1897867.82</v>
      </c>
      <c r="C7" s="3">
        <v>551576.93000000005</v>
      </c>
      <c r="D7" s="3">
        <v>3259087.65</v>
      </c>
      <c r="E7" s="3">
        <v>2231908.15</v>
      </c>
      <c r="F7" s="3">
        <v>431883.43000000005</v>
      </c>
      <c r="G7" s="3">
        <v>8372323.9800000004</v>
      </c>
    </row>
    <row r="8" spans="1:7" x14ac:dyDescent="0.3">
      <c r="A8" s="2" t="s">
        <v>12</v>
      </c>
      <c r="B8" s="3">
        <v>2139282.5099999998</v>
      </c>
      <c r="C8" s="3">
        <v>1929409.47</v>
      </c>
      <c r="D8" s="3">
        <v>1467003.54</v>
      </c>
      <c r="E8" s="3">
        <v>3319007.4699999997</v>
      </c>
      <c r="F8" s="3">
        <v>246445.16</v>
      </c>
      <c r="G8" s="3">
        <v>9101148.1499999985</v>
      </c>
    </row>
    <row r="9" spans="1:7" x14ac:dyDescent="0.3">
      <c r="A9" s="2" t="s">
        <v>8</v>
      </c>
      <c r="B9" s="3">
        <v>2097606.9699999997</v>
      </c>
      <c r="C9" s="3">
        <v>902193.27</v>
      </c>
      <c r="D9" s="3">
        <v>1034842.1299999999</v>
      </c>
      <c r="E9" s="3">
        <v>2615762.0500000003</v>
      </c>
      <c r="F9" s="3">
        <v>2270909.12</v>
      </c>
      <c r="G9" s="3">
        <v>8921313.5399999991</v>
      </c>
    </row>
    <row r="10" spans="1:7" x14ac:dyDescent="0.3">
      <c r="A10" s="2" t="s">
        <v>122</v>
      </c>
      <c r="B10" s="3">
        <v>10226250.800000001</v>
      </c>
      <c r="C10" s="3">
        <v>6380339.3300000001</v>
      </c>
      <c r="D10" s="3">
        <v>11003696.23</v>
      </c>
      <c r="E10" s="3">
        <v>13283909.32</v>
      </c>
      <c r="F10" s="3">
        <v>8171382.8999999994</v>
      </c>
      <c r="G10" s="3">
        <v>49065578.579999998</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1"/>
  <sheetViews>
    <sheetView showOutlineSymbols="0" showWhiteSpace="0" topLeftCell="A2" workbookViewId="0">
      <selection activeCell="A4" sqref="A4"/>
    </sheetView>
  </sheetViews>
  <sheetFormatPr defaultRowHeight="14" x14ac:dyDescent="0.3"/>
  <cols>
    <col min="1" max="1" width="14.08203125" bestFit="1" customWidth="1"/>
    <col min="2" max="2" width="8.58203125" bestFit="1" customWidth="1"/>
    <col min="3" max="3" width="13.1640625" customWidth="1"/>
    <col min="4" max="4" width="9.33203125" customWidth="1"/>
    <col min="5" max="5" width="9.6640625" customWidth="1"/>
    <col min="6" max="6" width="8.58203125" bestFit="1" customWidth="1"/>
    <col min="7" max="7" width="20.6640625" bestFit="1" customWidth="1"/>
  </cols>
  <sheetData>
    <row r="1" spans="1:7" x14ac:dyDescent="0.3">
      <c r="A1" t="s">
        <v>0</v>
      </c>
      <c r="B1" t="s">
        <v>1</v>
      </c>
      <c r="C1" t="s">
        <v>2</v>
      </c>
      <c r="D1" t="s">
        <v>3</v>
      </c>
      <c r="E1" t="s">
        <v>4</v>
      </c>
      <c r="F1" t="s">
        <v>5</v>
      </c>
      <c r="G1" t="s">
        <v>6</v>
      </c>
    </row>
    <row r="2" spans="1:7" x14ac:dyDescent="0.3">
      <c r="A2" t="s">
        <v>7</v>
      </c>
      <c r="B2" t="s">
        <v>8</v>
      </c>
      <c r="C2" t="s">
        <v>9</v>
      </c>
      <c r="D2" t="s">
        <v>10</v>
      </c>
      <c r="E2">
        <v>136</v>
      </c>
      <c r="F2">
        <v>63.84</v>
      </c>
      <c r="G2">
        <v>627758.81999999995</v>
      </c>
    </row>
    <row r="3" spans="1:7" x14ac:dyDescent="0.3">
      <c r="A3" t="s">
        <v>11</v>
      </c>
      <c r="B3" t="s">
        <v>12</v>
      </c>
      <c r="C3" t="s">
        <v>9</v>
      </c>
      <c r="D3" t="s">
        <v>13</v>
      </c>
      <c r="E3">
        <v>260</v>
      </c>
      <c r="F3">
        <v>416.21</v>
      </c>
      <c r="G3">
        <v>675580.2</v>
      </c>
    </row>
    <row r="4" spans="1:7" x14ac:dyDescent="0.3">
      <c r="A4" t="s">
        <v>14</v>
      </c>
      <c r="B4" t="s">
        <v>12</v>
      </c>
      <c r="C4" t="s">
        <v>15</v>
      </c>
      <c r="D4" t="s">
        <v>13</v>
      </c>
      <c r="E4">
        <v>443</v>
      </c>
      <c r="F4">
        <v>665.48</v>
      </c>
      <c r="G4">
        <v>235519.59</v>
      </c>
    </row>
    <row r="5" spans="1:7" x14ac:dyDescent="0.3">
      <c r="A5" t="s">
        <v>16</v>
      </c>
      <c r="B5" t="s">
        <v>17</v>
      </c>
      <c r="C5" t="s">
        <v>18</v>
      </c>
      <c r="D5" t="s">
        <v>19</v>
      </c>
      <c r="E5">
        <v>466</v>
      </c>
      <c r="F5">
        <v>108.9</v>
      </c>
      <c r="G5">
        <v>459415.66</v>
      </c>
    </row>
    <row r="6" spans="1:7" x14ac:dyDescent="0.3">
      <c r="A6" t="s">
        <v>20</v>
      </c>
      <c r="B6" t="s">
        <v>17</v>
      </c>
      <c r="C6" t="s">
        <v>21</v>
      </c>
      <c r="D6" t="s">
        <v>10</v>
      </c>
      <c r="E6">
        <v>253</v>
      </c>
      <c r="F6">
        <v>465.28</v>
      </c>
      <c r="G6">
        <v>319098.27</v>
      </c>
    </row>
    <row r="7" spans="1:7" x14ac:dyDescent="0.3">
      <c r="A7" t="s">
        <v>22</v>
      </c>
      <c r="B7" t="s">
        <v>17</v>
      </c>
      <c r="C7" t="s">
        <v>15</v>
      </c>
      <c r="D7" t="s">
        <v>13</v>
      </c>
      <c r="E7">
        <v>229</v>
      </c>
      <c r="F7">
        <v>481.71</v>
      </c>
      <c r="G7">
        <v>723073.36</v>
      </c>
    </row>
    <row r="8" spans="1:7" x14ac:dyDescent="0.3">
      <c r="A8" t="s">
        <v>23</v>
      </c>
      <c r="B8" t="s">
        <v>12</v>
      </c>
      <c r="C8" t="s">
        <v>18</v>
      </c>
      <c r="D8" t="s">
        <v>19</v>
      </c>
      <c r="E8">
        <v>49</v>
      </c>
      <c r="F8">
        <v>858.57</v>
      </c>
      <c r="G8">
        <v>907926.7</v>
      </c>
    </row>
    <row r="9" spans="1:7" x14ac:dyDescent="0.3">
      <c r="A9" t="s">
        <v>24</v>
      </c>
      <c r="B9" t="s">
        <v>8</v>
      </c>
      <c r="C9" t="s">
        <v>21</v>
      </c>
      <c r="D9" t="s">
        <v>25</v>
      </c>
      <c r="E9">
        <v>59</v>
      </c>
      <c r="F9">
        <v>297.02</v>
      </c>
      <c r="G9">
        <v>96291.12</v>
      </c>
    </row>
    <row r="10" spans="1:7" x14ac:dyDescent="0.3">
      <c r="A10" t="s">
        <v>26</v>
      </c>
      <c r="B10" t="s">
        <v>8</v>
      </c>
      <c r="C10" t="s">
        <v>21</v>
      </c>
      <c r="D10" t="s">
        <v>13</v>
      </c>
      <c r="E10">
        <v>318</v>
      </c>
      <c r="F10">
        <v>927.88</v>
      </c>
      <c r="G10">
        <v>681017.14</v>
      </c>
    </row>
    <row r="11" spans="1:7" x14ac:dyDescent="0.3">
      <c r="A11" t="s">
        <v>27</v>
      </c>
      <c r="B11" t="s">
        <v>28</v>
      </c>
      <c r="C11" t="s">
        <v>18</v>
      </c>
      <c r="D11" t="s">
        <v>19</v>
      </c>
      <c r="E11">
        <v>288</v>
      </c>
      <c r="F11">
        <v>371.33</v>
      </c>
      <c r="G11">
        <v>366739.82</v>
      </c>
    </row>
    <row r="12" spans="1:7" x14ac:dyDescent="0.3">
      <c r="A12" t="s">
        <v>29</v>
      </c>
      <c r="B12" t="s">
        <v>12</v>
      </c>
      <c r="C12" t="s">
        <v>15</v>
      </c>
      <c r="D12" t="s">
        <v>19</v>
      </c>
      <c r="E12">
        <v>317</v>
      </c>
      <c r="F12">
        <v>385.87</v>
      </c>
      <c r="G12">
        <v>410063.99</v>
      </c>
    </row>
    <row r="13" spans="1:7" x14ac:dyDescent="0.3">
      <c r="A13" t="s">
        <v>30</v>
      </c>
      <c r="B13" t="s">
        <v>17</v>
      </c>
      <c r="C13" t="s">
        <v>15</v>
      </c>
      <c r="D13" t="s">
        <v>10</v>
      </c>
      <c r="E13">
        <v>406</v>
      </c>
      <c r="F13">
        <v>481.07</v>
      </c>
      <c r="G13">
        <v>8524.67</v>
      </c>
    </row>
    <row r="14" spans="1:7" x14ac:dyDescent="0.3">
      <c r="A14" t="s">
        <v>31</v>
      </c>
      <c r="B14" t="s">
        <v>12</v>
      </c>
      <c r="C14" t="s">
        <v>32</v>
      </c>
      <c r="D14" t="s">
        <v>19</v>
      </c>
      <c r="E14">
        <v>56</v>
      </c>
      <c r="F14">
        <v>262.08</v>
      </c>
      <c r="G14">
        <v>165274.94</v>
      </c>
    </row>
    <row r="15" spans="1:7" x14ac:dyDescent="0.3">
      <c r="A15" t="s">
        <v>33</v>
      </c>
      <c r="B15" t="s">
        <v>34</v>
      </c>
      <c r="C15" t="s">
        <v>21</v>
      </c>
      <c r="D15" t="s">
        <v>35</v>
      </c>
      <c r="E15">
        <v>359</v>
      </c>
      <c r="F15">
        <v>405.76</v>
      </c>
      <c r="G15">
        <v>569295.52</v>
      </c>
    </row>
    <row r="16" spans="1:7" x14ac:dyDescent="0.3">
      <c r="A16" t="s">
        <v>36</v>
      </c>
      <c r="B16" t="s">
        <v>34</v>
      </c>
      <c r="C16" t="s">
        <v>18</v>
      </c>
      <c r="D16" t="s">
        <v>35</v>
      </c>
      <c r="E16">
        <v>442</v>
      </c>
      <c r="F16">
        <v>318.77999999999997</v>
      </c>
      <c r="G16">
        <v>102257.87</v>
      </c>
    </row>
    <row r="17" spans="1:7" x14ac:dyDescent="0.3">
      <c r="A17" t="s">
        <v>37</v>
      </c>
      <c r="B17" t="s">
        <v>34</v>
      </c>
      <c r="C17" t="s">
        <v>32</v>
      </c>
      <c r="D17" t="s">
        <v>10</v>
      </c>
      <c r="E17">
        <v>107</v>
      </c>
      <c r="F17">
        <v>761.34</v>
      </c>
      <c r="G17">
        <v>409421.93</v>
      </c>
    </row>
    <row r="18" spans="1:7" x14ac:dyDescent="0.3">
      <c r="A18" t="s">
        <v>38</v>
      </c>
      <c r="B18" t="s">
        <v>17</v>
      </c>
      <c r="C18" t="s">
        <v>15</v>
      </c>
      <c r="D18" t="s">
        <v>19</v>
      </c>
      <c r="E18">
        <v>223</v>
      </c>
      <c r="F18">
        <v>206.64</v>
      </c>
      <c r="G18">
        <v>231149.32</v>
      </c>
    </row>
    <row r="19" spans="1:7" x14ac:dyDescent="0.3">
      <c r="A19" t="s">
        <v>39</v>
      </c>
      <c r="B19" t="s">
        <v>12</v>
      </c>
      <c r="C19" t="s">
        <v>18</v>
      </c>
      <c r="D19" t="s">
        <v>25</v>
      </c>
      <c r="E19">
        <v>194</v>
      </c>
      <c r="F19">
        <v>109.55</v>
      </c>
      <c r="G19">
        <v>517034.66</v>
      </c>
    </row>
    <row r="20" spans="1:7" x14ac:dyDescent="0.3">
      <c r="A20" t="s">
        <v>40</v>
      </c>
      <c r="B20" t="s">
        <v>34</v>
      </c>
      <c r="C20" t="s">
        <v>9</v>
      </c>
      <c r="D20" t="s">
        <v>10</v>
      </c>
      <c r="E20">
        <v>288</v>
      </c>
      <c r="F20">
        <v>999.36</v>
      </c>
      <c r="G20">
        <v>710898.87</v>
      </c>
    </row>
    <row r="21" spans="1:7" x14ac:dyDescent="0.3">
      <c r="A21" t="s">
        <v>41</v>
      </c>
      <c r="B21" t="s">
        <v>12</v>
      </c>
      <c r="C21" t="s">
        <v>21</v>
      </c>
      <c r="D21" t="s">
        <v>25</v>
      </c>
      <c r="E21">
        <v>220</v>
      </c>
      <c r="F21">
        <v>964.88</v>
      </c>
      <c r="G21">
        <v>371247.33</v>
      </c>
    </row>
    <row r="22" spans="1:7" x14ac:dyDescent="0.3">
      <c r="A22" t="s">
        <v>42</v>
      </c>
      <c r="B22" t="s">
        <v>34</v>
      </c>
      <c r="C22" t="s">
        <v>9</v>
      </c>
      <c r="D22" t="s">
        <v>10</v>
      </c>
      <c r="E22">
        <v>114</v>
      </c>
      <c r="F22">
        <v>608</v>
      </c>
      <c r="G22">
        <v>316893.15000000002</v>
      </c>
    </row>
    <row r="23" spans="1:7" x14ac:dyDescent="0.3">
      <c r="A23" t="s">
        <v>43</v>
      </c>
      <c r="B23" t="s">
        <v>34</v>
      </c>
      <c r="C23" t="s">
        <v>9</v>
      </c>
      <c r="D23" t="s">
        <v>19</v>
      </c>
      <c r="E23">
        <v>102</v>
      </c>
      <c r="F23">
        <v>260.72000000000003</v>
      </c>
      <c r="G23">
        <v>884483.82</v>
      </c>
    </row>
    <row r="24" spans="1:7" x14ac:dyDescent="0.3">
      <c r="A24" t="s">
        <v>44</v>
      </c>
      <c r="B24" t="s">
        <v>34</v>
      </c>
      <c r="C24" t="s">
        <v>32</v>
      </c>
      <c r="D24" t="s">
        <v>19</v>
      </c>
      <c r="E24">
        <v>167</v>
      </c>
      <c r="F24">
        <v>398.77</v>
      </c>
      <c r="G24">
        <v>659643.06000000006</v>
      </c>
    </row>
    <row r="25" spans="1:7" x14ac:dyDescent="0.3">
      <c r="A25" t="s">
        <v>45</v>
      </c>
      <c r="B25" t="s">
        <v>28</v>
      </c>
      <c r="C25" t="s">
        <v>9</v>
      </c>
      <c r="D25" t="s">
        <v>10</v>
      </c>
      <c r="E25">
        <v>484</v>
      </c>
      <c r="F25">
        <v>758.98</v>
      </c>
      <c r="G25">
        <v>2898.92</v>
      </c>
    </row>
    <row r="26" spans="1:7" x14ac:dyDescent="0.3">
      <c r="A26" t="s">
        <v>46</v>
      </c>
      <c r="B26" t="s">
        <v>17</v>
      </c>
      <c r="C26" t="s">
        <v>32</v>
      </c>
      <c r="D26" t="s">
        <v>10</v>
      </c>
      <c r="E26">
        <v>349</v>
      </c>
      <c r="F26">
        <v>10.71</v>
      </c>
      <c r="G26">
        <v>478010.39</v>
      </c>
    </row>
    <row r="27" spans="1:7" x14ac:dyDescent="0.3">
      <c r="A27" t="s">
        <v>47</v>
      </c>
      <c r="B27" t="s">
        <v>28</v>
      </c>
      <c r="C27" t="s">
        <v>9</v>
      </c>
      <c r="D27" t="s">
        <v>35</v>
      </c>
      <c r="E27">
        <v>7</v>
      </c>
      <c r="F27">
        <v>271.64999999999998</v>
      </c>
      <c r="G27">
        <v>372117.06</v>
      </c>
    </row>
    <row r="28" spans="1:7" x14ac:dyDescent="0.3">
      <c r="A28" t="s">
        <v>48</v>
      </c>
      <c r="B28" t="s">
        <v>17</v>
      </c>
      <c r="C28" t="s">
        <v>18</v>
      </c>
      <c r="D28" t="s">
        <v>25</v>
      </c>
      <c r="E28">
        <v>107</v>
      </c>
      <c r="F28">
        <v>55.16</v>
      </c>
      <c r="G28">
        <v>727343.54</v>
      </c>
    </row>
    <row r="29" spans="1:7" x14ac:dyDescent="0.3">
      <c r="A29" t="s">
        <v>49</v>
      </c>
      <c r="B29" t="s">
        <v>34</v>
      </c>
      <c r="C29" t="s">
        <v>15</v>
      </c>
      <c r="D29" t="s">
        <v>19</v>
      </c>
      <c r="E29">
        <v>479</v>
      </c>
      <c r="F29">
        <v>862.67</v>
      </c>
      <c r="G29">
        <v>468209.59</v>
      </c>
    </row>
    <row r="30" spans="1:7" x14ac:dyDescent="0.3">
      <c r="A30" t="s">
        <v>50</v>
      </c>
      <c r="B30" t="s">
        <v>34</v>
      </c>
      <c r="C30" t="s">
        <v>32</v>
      </c>
      <c r="D30" t="s">
        <v>35</v>
      </c>
      <c r="E30">
        <v>135</v>
      </c>
      <c r="F30">
        <v>75.430000000000007</v>
      </c>
      <c r="G30">
        <v>416650.74</v>
      </c>
    </row>
    <row r="31" spans="1:7" x14ac:dyDescent="0.3">
      <c r="A31" t="s">
        <v>51</v>
      </c>
      <c r="B31" t="s">
        <v>28</v>
      </c>
      <c r="C31" t="s">
        <v>9</v>
      </c>
      <c r="D31" t="s">
        <v>10</v>
      </c>
      <c r="E31">
        <v>479</v>
      </c>
      <c r="F31">
        <v>399.75</v>
      </c>
      <c r="G31">
        <v>605465.56000000006</v>
      </c>
    </row>
    <row r="32" spans="1:7" x14ac:dyDescent="0.3">
      <c r="A32" t="s">
        <v>52</v>
      </c>
      <c r="B32" t="s">
        <v>34</v>
      </c>
      <c r="C32" t="s">
        <v>21</v>
      </c>
      <c r="D32" t="s">
        <v>13</v>
      </c>
      <c r="E32">
        <v>351</v>
      </c>
      <c r="F32">
        <v>86.57</v>
      </c>
      <c r="G32">
        <v>924683.68</v>
      </c>
    </row>
    <row r="33" spans="1:7" x14ac:dyDescent="0.3">
      <c r="A33" t="s">
        <v>53</v>
      </c>
      <c r="B33" t="s">
        <v>34</v>
      </c>
      <c r="C33" t="s">
        <v>18</v>
      </c>
      <c r="D33" t="s">
        <v>13</v>
      </c>
      <c r="E33">
        <v>331</v>
      </c>
      <c r="F33">
        <v>672.45</v>
      </c>
      <c r="G33">
        <v>913102.28</v>
      </c>
    </row>
    <row r="34" spans="1:7" x14ac:dyDescent="0.3">
      <c r="A34" t="s">
        <v>54</v>
      </c>
      <c r="B34" t="s">
        <v>8</v>
      </c>
      <c r="C34" t="s">
        <v>9</v>
      </c>
      <c r="D34" t="s">
        <v>25</v>
      </c>
      <c r="E34">
        <v>478</v>
      </c>
      <c r="F34">
        <v>785.79</v>
      </c>
      <c r="G34">
        <v>407083.31</v>
      </c>
    </row>
    <row r="35" spans="1:7" x14ac:dyDescent="0.3">
      <c r="A35" t="s">
        <v>55</v>
      </c>
      <c r="B35" t="s">
        <v>8</v>
      </c>
      <c r="C35" t="s">
        <v>21</v>
      </c>
      <c r="D35" t="s">
        <v>13</v>
      </c>
      <c r="E35">
        <v>222</v>
      </c>
      <c r="F35">
        <v>149.71</v>
      </c>
      <c r="G35">
        <v>449800.86</v>
      </c>
    </row>
    <row r="36" spans="1:7" x14ac:dyDescent="0.3">
      <c r="A36" t="s">
        <v>56</v>
      </c>
      <c r="B36" t="s">
        <v>8</v>
      </c>
      <c r="C36" t="s">
        <v>32</v>
      </c>
      <c r="D36" t="s">
        <v>10</v>
      </c>
      <c r="E36">
        <v>327</v>
      </c>
      <c r="F36">
        <v>897.31</v>
      </c>
      <c r="G36">
        <v>746579.49</v>
      </c>
    </row>
    <row r="37" spans="1:7" x14ac:dyDescent="0.3">
      <c r="A37" t="s">
        <v>57</v>
      </c>
      <c r="B37" t="s">
        <v>8</v>
      </c>
      <c r="C37" t="s">
        <v>21</v>
      </c>
      <c r="D37" t="s">
        <v>10</v>
      </c>
      <c r="E37">
        <v>445</v>
      </c>
      <c r="F37">
        <v>661.83</v>
      </c>
      <c r="G37">
        <v>598370.22</v>
      </c>
    </row>
    <row r="38" spans="1:7" x14ac:dyDescent="0.3">
      <c r="A38" t="s">
        <v>58</v>
      </c>
      <c r="B38" t="s">
        <v>12</v>
      </c>
      <c r="C38" t="s">
        <v>21</v>
      </c>
      <c r="D38" t="s">
        <v>10</v>
      </c>
      <c r="E38">
        <v>145</v>
      </c>
      <c r="F38">
        <v>77.930000000000007</v>
      </c>
      <c r="G38">
        <v>359099.47</v>
      </c>
    </row>
    <row r="39" spans="1:7" x14ac:dyDescent="0.3">
      <c r="A39" t="s">
        <v>59</v>
      </c>
      <c r="B39" t="s">
        <v>12</v>
      </c>
      <c r="C39" t="s">
        <v>18</v>
      </c>
      <c r="D39" t="s">
        <v>35</v>
      </c>
      <c r="E39">
        <v>344</v>
      </c>
      <c r="F39">
        <v>241.33</v>
      </c>
      <c r="G39">
        <v>565504.94999999995</v>
      </c>
    </row>
    <row r="40" spans="1:7" x14ac:dyDescent="0.3">
      <c r="A40" t="s">
        <v>60</v>
      </c>
      <c r="B40" t="s">
        <v>34</v>
      </c>
      <c r="C40" t="s">
        <v>15</v>
      </c>
      <c r="D40" t="s">
        <v>19</v>
      </c>
      <c r="E40">
        <v>347</v>
      </c>
      <c r="F40">
        <v>135.63999999999999</v>
      </c>
      <c r="G40">
        <v>440468.37</v>
      </c>
    </row>
    <row r="41" spans="1:7" x14ac:dyDescent="0.3">
      <c r="A41" t="s">
        <v>61</v>
      </c>
      <c r="B41" t="s">
        <v>28</v>
      </c>
      <c r="C41" t="s">
        <v>21</v>
      </c>
      <c r="D41" t="s">
        <v>35</v>
      </c>
      <c r="E41">
        <v>281</v>
      </c>
      <c r="F41">
        <v>149.26</v>
      </c>
      <c r="G41">
        <v>368711.57</v>
      </c>
    </row>
    <row r="42" spans="1:7" x14ac:dyDescent="0.3">
      <c r="A42" t="s">
        <v>62</v>
      </c>
      <c r="B42" t="s">
        <v>8</v>
      </c>
      <c r="C42" t="s">
        <v>21</v>
      </c>
      <c r="D42" t="s">
        <v>25</v>
      </c>
      <c r="E42">
        <v>161</v>
      </c>
      <c r="F42">
        <v>558.6</v>
      </c>
      <c r="G42">
        <v>733044.02</v>
      </c>
    </row>
    <row r="43" spans="1:7" x14ac:dyDescent="0.3">
      <c r="A43" t="s">
        <v>63</v>
      </c>
      <c r="B43" t="s">
        <v>17</v>
      </c>
      <c r="C43" t="s">
        <v>9</v>
      </c>
      <c r="D43" t="s">
        <v>10</v>
      </c>
      <c r="E43">
        <v>381</v>
      </c>
      <c r="F43">
        <v>729.94</v>
      </c>
      <c r="G43">
        <v>520508.46</v>
      </c>
    </row>
    <row r="44" spans="1:7" x14ac:dyDescent="0.3">
      <c r="A44" t="s">
        <v>64</v>
      </c>
      <c r="B44" t="s">
        <v>17</v>
      </c>
      <c r="C44" t="s">
        <v>32</v>
      </c>
      <c r="D44" t="s">
        <v>10</v>
      </c>
      <c r="E44">
        <v>272</v>
      </c>
      <c r="F44">
        <v>967.37</v>
      </c>
      <c r="G44">
        <v>657531.4</v>
      </c>
    </row>
    <row r="45" spans="1:7" x14ac:dyDescent="0.3">
      <c r="A45" t="s">
        <v>65</v>
      </c>
      <c r="B45" t="s">
        <v>28</v>
      </c>
      <c r="C45" t="s">
        <v>21</v>
      </c>
      <c r="D45" t="s">
        <v>13</v>
      </c>
      <c r="E45">
        <v>282</v>
      </c>
      <c r="F45">
        <v>864.79</v>
      </c>
      <c r="G45">
        <v>880938.96</v>
      </c>
    </row>
    <row r="46" spans="1:7" x14ac:dyDescent="0.3">
      <c r="A46" t="s">
        <v>66</v>
      </c>
      <c r="B46" t="s">
        <v>17</v>
      </c>
      <c r="C46" t="s">
        <v>21</v>
      </c>
      <c r="D46" t="s">
        <v>19</v>
      </c>
      <c r="E46">
        <v>169</v>
      </c>
      <c r="F46">
        <v>716.38</v>
      </c>
      <c r="G46">
        <v>639777.77</v>
      </c>
    </row>
    <row r="47" spans="1:7" x14ac:dyDescent="0.3">
      <c r="A47" t="s">
        <v>67</v>
      </c>
      <c r="B47" t="s">
        <v>12</v>
      </c>
      <c r="C47" t="s">
        <v>9</v>
      </c>
      <c r="D47" t="s">
        <v>25</v>
      </c>
      <c r="E47">
        <v>320</v>
      </c>
      <c r="F47">
        <v>527.4</v>
      </c>
      <c r="G47">
        <v>235943.34</v>
      </c>
    </row>
    <row r="48" spans="1:7" x14ac:dyDescent="0.3">
      <c r="A48" t="s">
        <v>68</v>
      </c>
      <c r="B48" t="s">
        <v>17</v>
      </c>
      <c r="C48" t="s">
        <v>21</v>
      </c>
      <c r="D48" t="s">
        <v>19</v>
      </c>
      <c r="E48">
        <v>273</v>
      </c>
      <c r="F48">
        <v>280.97000000000003</v>
      </c>
      <c r="G48">
        <v>617727.68999999994</v>
      </c>
    </row>
    <row r="49" spans="1:7" x14ac:dyDescent="0.3">
      <c r="A49" t="s">
        <v>69</v>
      </c>
      <c r="B49" t="s">
        <v>28</v>
      </c>
      <c r="C49" t="s">
        <v>15</v>
      </c>
      <c r="D49" t="s">
        <v>19</v>
      </c>
      <c r="E49">
        <v>208</v>
      </c>
      <c r="F49">
        <v>480.9</v>
      </c>
      <c r="G49">
        <v>551576.93000000005</v>
      </c>
    </row>
    <row r="50" spans="1:7" x14ac:dyDescent="0.3">
      <c r="A50" t="s">
        <v>70</v>
      </c>
      <c r="B50" t="s">
        <v>12</v>
      </c>
      <c r="C50" t="s">
        <v>21</v>
      </c>
      <c r="D50" t="s">
        <v>25</v>
      </c>
      <c r="E50">
        <v>209</v>
      </c>
      <c r="F50">
        <v>560.34</v>
      </c>
      <c r="G50">
        <v>895232.7</v>
      </c>
    </row>
    <row r="51" spans="1:7" x14ac:dyDescent="0.3">
      <c r="A51" t="s">
        <v>71</v>
      </c>
      <c r="B51" t="s">
        <v>17</v>
      </c>
      <c r="C51" t="s">
        <v>32</v>
      </c>
      <c r="D51" t="s">
        <v>25</v>
      </c>
      <c r="E51">
        <v>136</v>
      </c>
      <c r="F51">
        <v>358.08</v>
      </c>
      <c r="G51">
        <v>52413.16</v>
      </c>
    </row>
    <row r="52" spans="1:7" x14ac:dyDescent="0.3">
      <c r="A52" t="s">
        <v>72</v>
      </c>
      <c r="B52" t="s">
        <v>12</v>
      </c>
      <c r="C52" t="s">
        <v>9</v>
      </c>
      <c r="D52" t="s">
        <v>35</v>
      </c>
      <c r="E52">
        <v>206</v>
      </c>
      <c r="F52">
        <v>739.17</v>
      </c>
      <c r="G52">
        <v>229147.63</v>
      </c>
    </row>
    <row r="53" spans="1:7" x14ac:dyDescent="0.3">
      <c r="A53" t="s">
        <v>73</v>
      </c>
      <c r="B53" t="s">
        <v>8</v>
      </c>
      <c r="C53" t="s">
        <v>15</v>
      </c>
      <c r="D53" t="s">
        <v>19</v>
      </c>
      <c r="E53">
        <v>364</v>
      </c>
      <c r="F53">
        <v>151.30000000000001</v>
      </c>
      <c r="G53">
        <v>446184.8</v>
      </c>
    </row>
    <row r="54" spans="1:7" x14ac:dyDescent="0.3">
      <c r="A54" t="s">
        <v>74</v>
      </c>
      <c r="B54" t="s">
        <v>12</v>
      </c>
      <c r="C54" t="s">
        <v>32</v>
      </c>
      <c r="D54" t="s">
        <v>10</v>
      </c>
      <c r="E54">
        <v>405</v>
      </c>
      <c r="F54">
        <v>11.17</v>
      </c>
      <c r="G54">
        <v>81170.22</v>
      </c>
    </row>
    <row r="55" spans="1:7" x14ac:dyDescent="0.3">
      <c r="A55" t="s">
        <v>67</v>
      </c>
      <c r="B55" t="s">
        <v>34</v>
      </c>
      <c r="C55" t="s">
        <v>21</v>
      </c>
      <c r="D55" t="s">
        <v>35</v>
      </c>
      <c r="E55">
        <v>130</v>
      </c>
      <c r="F55">
        <v>956.98</v>
      </c>
      <c r="G55">
        <v>196466.42</v>
      </c>
    </row>
    <row r="56" spans="1:7" x14ac:dyDescent="0.3">
      <c r="A56" t="s">
        <v>75</v>
      </c>
      <c r="B56" t="s">
        <v>8</v>
      </c>
      <c r="C56" t="s">
        <v>21</v>
      </c>
      <c r="D56" t="s">
        <v>19</v>
      </c>
      <c r="E56">
        <v>237</v>
      </c>
      <c r="F56">
        <v>877.85</v>
      </c>
      <c r="G56">
        <v>57238.69</v>
      </c>
    </row>
    <row r="57" spans="1:7" x14ac:dyDescent="0.3">
      <c r="A57" t="s">
        <v>76</v>
      </c>
      <c r="B57" t="s">
        <v>28</v>
      </c>
      <c r="C57" t="s">
        <v>9</v>
      </c>
      <c r="D57" t="s">
        <v>19</v>
      </c>
      <c r="E57">
        <v>260</v>
      </c>
      <c r="F57">
        <v>506.03</v>
      </c>
      <c r="G57">
        <v>999296.57</v>
      </c>
    </row>
    <row r="58" spans="1:7" x14ac:dyDescent="0.3">
      <c r="A58" t="s">
        <v>77</v>
      </c>
      <c r="B58" t="s">
        <v>34</v>
      </c>
      <c r="C58" t="s">
        <v>32</v>
      </c>
      <c r="D58" t="s">
        <v>19</v>
      </c>
      <c r="E58">
        <v>87</v>
      </c>
      <c r="F58">
        <v>833.01</v>
      </c>
      <c r="G58">
        <v>432714.06</v>
      </c>
    </row>
    <row r="59" spans="1:7" x14ac:dyDescent="0.3">
      <c r="A59" t="s">
        <v>78</v>
      </c>
      <c r="B59" t="s">
        <v>17</v>
      </c>
      <c r="C59" t="s">
        <v>9</v>
      </c>
      <c r="D59" t="s">
        <v>35</v>
      </c>
      <c r="E59">
        <v>304</v>
      </c>
      <c r="F59">
        <v>10.5</v>
      </c>
      <c r="G59">
        <v>698761.62</v>
      </c>
    </row>
    <row r="60" spans="1:7" x14ac:dyDescent="0.3">
      <c r="A60" t="s">
        <v>79</v>
      </c>
      <c r="B60" t="s">
        <v>34</v>
      </c>
      <c r="C60" t="s">
        <v>21</v>
      </c>
      <c r="D60" t="s">
        <v>10</v>
      </c>
      <c r="E60">
        <v>361</v>
      </c>
      <c r="F60">
        <v>996.71</v>
      </c>
      <c r="G60">
        <v>113177.34</v>
      </c>
    </row>
    <row r="61" spans="1:7" x14ac:dyDescent="0.3">
      <c r="A61" t="s">
        <v>80</v>
      </c>
      <c r="B61" t="s">
        <v>28</v>
      </c>
      <c r="C61" t="s">
        <v>18</v>
      </c>
      <c r="D61" t="s">
        <v>13</v>
      </c>
      <c r="E61">
        <v>324</v>
      </c>
      <c r="F61">
        <v>962.21</v>
      </c>
      <c r="G61">
        <v>963658.45</v>
      </c>
    </row>
    <row r="62" spans="1:7" x14ac:dyDescent="0.3">
      <c r="A62" t="s">
        <v>81</v>
      </c>
      <c r="B62" t="s">
        <v>12</v>
      </c>
      <c r="C62" t="s">
        <v>15</v>
      </c>
      <c r="D62" t="s">
        <v>10</v>
      </c>
      <c r="E62">
        <v>63</v>
      </c>
      <c r="F62">
        <v>55.9</v>
      </c>
      <c r="G62">
        <v>495025.94</v>
      </c>
    </row>
    <row r="63" spans="1:7" x14ac:dyDescent="0.3">
      <c r="A63" t="s">
        <v>82</v>
      </c>
      <c r="B63" t="s">
        <v>8</v>
      </c>
      <c r="C63" t="s">
        <v>32</v>
      </c>
      <c r="D63" t="s">
        <v>35</v>
      </c>
      <c r="E63">
        <v>294</v>
      </c>
      <c r="F63">
        <v>688.73</v>
      </c>
      <c r="G63">
        <v>741443.56</v>
      </c>
    </row>
    <row r="64" spans="1:7" x14ac:dyDescent="0.3">
      <c r="A64" t="s">
        <v>83</v>
      </c>
      <c r="B64" t="s">
        <v>17</v>
      </c>
      <c r="C64" t="s">
        <v>15</v>
      </c>
      <c r="D64" t="s">
        <v>13</v>
      </c>
      <c r="E64">
        <v>452</v>
      </c>
      <c r="F64">
        <v>782.93</v>
      </c>
      <c r="G64">
        <v>827262.41</v>
      </c>
    </row>
    <row r="65" spans="1:7" x14ac:dyDescent="0.3">
      <c r="A65" t="s">
        <v>84</v>
      </c>
      <c r="B65" t="s">
        <v>12</v>
      </c>
      <c r="C65" t="s">
        <v>21</v>
      </c>
      <c r="D65" t="s">
        <v>25</v>
      </c>
      <c r="E65">
        <v>276</v>
      </c>
      <c r="F65">
        <v>526.86</v>
      </c>
      <c r="G65">
        <v>895738.94</v>
      </c>
    </row>
    <row r="66" spans="1:7" x14ac:dyDescent="0.3">
      <c r="A66" t="s">
        <v>85</v>
      </c>
      <c r="B66" t="s">
        <v>12</v>
      </c>
      <c r="C66" t="s">
        <v>21</v>
      </c>
      <c r="D66" t="s">
        <v>35</v>
      </c>
      <c r="E66">
        <v>355</v>
      </c>
      <c r="F66">
        <v>410.98</v>
      </c>
      <c r="G66">
        <v>797689.03</v>
      </c>
    </row>
    <row r="67" spans="1:7" x14ac:dyDescent="0.3">
      <c r="A67" t="s">
        <v>86</v>
      </c>
      <c r="B67" t="s">
        <v>17</v>
      </c>
      <c r="C67" t="s">
        <v>9</v>
      </c>
      <c r="D67" t="s">
        <v>19</v>
      </c>
      <c r="E67">
        <v>240</v>
      </c>
      <c r="F67">
        <v>148.84</v>
      </c>
      <c r="G67">
        <v>970167.22</v>
      </c>
    </row>
    <row r="68" spans="1:7" x14ac:dyDescent="0.3">
      <c r="A68" t="s">
        <v>87</v>
      </c>
      <c r="B68" t="s">
        <v>17</v>
      </c>
      <c r="C68" t="s">
        <v>32</v>
      </c>
      <c r="D68" t="s">
        <v>10</v>
      </c>
      <c r="E68">
        <v>121</v>
      </c>
      <c r="F68">
        <v>352.67</v>
      </c>
      <c r="G68">
        <v>827659.33</v>
      </c>
    </row>
    <row r="69" spans="1:7" x14ac:dyDescent="0.3">
      <c r="A69" t="s">
        <v>88</v>
      </c>
      <c r="B69" t="s">
        <v>17</v>
      </c>
      <c r="C69" t="s">
        <v>21</v>
      </c>
      <c r="D69" t="s">
        <v>35</v>
      </c>
      <c r="E69">
        <v>247</v>
      </c>
      <c r="F69">
        <v>740.09</v>
      </c>
      <c r="G69">
        <v>823039.91</v>
      </c>
    </row>
    <row r="70" spans="1:7" x14ac:dyDescent="0.3">
      <c r="A70" t="s">
        <v>89</v>
      </c>
      <c r="B70" t="s">
        <v>8</v>
      </c>
      <c r="C70" t="s">
        <v>32</v>
      </c>
      <c r="D70" t="s">
        <v>25</v>
      </c>
      <c r="E70">
        <v>164</v>
      </c>
      <c r="F70">
        <v>174.57</v>
      </c>
      <c r="G70">
        <v>782886.07</v>
      </c>
    </row>
    <row r="71" spans="1:7" x14ac:dyDescent="0.3">
      <c r="A71" t="s">
        <v>90</v>
      </c>
      <c r="B71" t="s">
        <v>12</v>
      </c>
      <c r="C71" t="s">
        <v>18</v>
      </c>
      <c r="D71" t="s">
        <v>19</v>
      </c>
      <c r="E71">
        <v>38</v>
      </c>
      <c r="F71">
        <v>977.04</v>
      </c>
      <c r="G71">
        <v>148816.20000000001</v>
      </c>
    </row>
    <row r="72" spans="1:7" x14ac:dyDescent="0.3">
      <c r="A72" t="s">
        <v>91</v>
      </c>
      <c r="B72" t="s">
        <v>8</v>
      </c>
      <c r="C72" t="s">
        <v>15</v>
      </c>
      <c r="D72" t="s">
        <v>25</v>
      </c>
      <c r="E72">
        <v>198</v>
      </c>
      <c r="F72">
        <v>339.88</v>
      </c>
      <c r="G72">
        <v>70705.45</v>
      </c>
    </row>
    <row r="73" spans="1:7" x14ac:dyDescent="0.3">
      <c r="A73" t="s">
        <v>92</v>
      </c>
      <c r="B73" t="s">
        <v>12</v>
      </c>
      <c r="C73" t="s">
        <v>15</v>
      </c>
      <c r="D73" t="s">
        <v>19</v>
      </c>
      <c r="E73">
        <v>197</v>
      </c>
      <c r="F73">
        <v>164.96</v>
      </c>
      <c r="G73">
        <v>430244.69</v>
      </c>
    </row>
    <row r="74" spans="1:7" x14ac:dyDescent="0.3">
      <c r="A74" t="s">
        <v>93</v>
      </c>
      <c r="B74" t="s">
        <v>34</v>
      </c>
      <c r="C74" t="s">
        <v>32</v>
      </c>
      <c r="D74" t="s">
        <v>25</v>
      </c>
      <c r="E74">
        <v>412</v>
      </c>
      <c r="F74">
        <v>685.33</v>
      </c>
      <c r="G74">
        <v>393323.53</v>
      </c>
    </row>
    <row r="75" spans="1:7" x14ac:dyDescent="0.3">
      <c r="A75" t="s">
        <v>94</v>
      </c>
      <c r="B75" t="s">
        <v>12</v>
      </c>
      <c r="C75" t="s">
        <v>9</v>
      </c>
      <c r="D75" t="s">
        <v>13</v>
      </c>
      <c r="E75">
        <v>158</v>
      </c>
      <c r="F75">
        <v>152.19</v>
      </c>
      <c r="G75">
        <v>26790.52</v>
      </c>
    </row>
    <row r="76" spans="1:7" x14ac:dyDescent="0.3">
      <c r="A76" t="s">
        <v>95</v>
      </c>
      <c r="B76" t="s">
        <v>17</v>
      </c>
      <c r="C76" t="s">
        <v>18</v>
      </c>
      <c r="D76" t="s">
        <v>35</v>
      </c>
      <c r="E76">
        <v>493</v>
      </c>
      <c r="F76">
        <v>180.52</v>
      </c>
      <c r="G76">
        <v>917910.55</v>
      </c>
    </row>
    <row r="77" spans="1:7" x14ac:dyDescent="0.3">
      <c r="A77" t="s">
        <v>96</v>
      </c>
      <c r="B77" t="s">
        <v>28</v>
      </c>
      <c r="C77" t="s">
        <v>18</v>
      </c>
      <c r="D77" t="s">
        <v>10</v>
      </c>
      <c r="E77">
        <v>184</v>
      </c>
      <c r="F77">
        <v>826.15</v>
      </c>
      <c r="G77">
        <v>567469.55000000005</v>
      </c>
    </row>
    <row r="78" spans="1:7" x14ac:dyDescent="0.3">
      <c r="A78" t="s">
        <v>97</v>
      </c>
      <c r="B78" t="s">
        <v>34</v>
      </c>
      <c r="C78" t="s">
        <v>21</v>
      </c>
      <c r="D78" t="s">
        <v>19</v>
      </c>
      <c r="E78">
        <v>44</v>
      </c>
      <c r="F78">
        <v>832.52</v>
      </c>
      <c r="G78">
        <v>685621.49</v>
      </c>
    </row>
    <row r="79" spans="1:7" x14ac:dyDescent="0.3">
      <c r="A79" t="s">
        <v>98</v>
      </c>
      <c r="B79" t="s">
        <v>12</v>
      </c>
      <c r="C79" t="s">
        <v>15</v>
      </c>
      <c r="D79" t="s">
        <v>19</v>
      </c>
      <c r="E79">
        <v>233</v>
      </c>
      <c r="F79">
        <v>242.85</v>
      </c>
      <c r="G79">
        <v>358555.26</v>
      </c>
    </row>
    <row r="80" spans="1:7" x14ac:dyDescent="0.3">
      <c r="A80" t="s">
        <v>99</v>
      </c>
      <c r="B80" t="s">
        <v>17</v>
      </c>
      <c r="C80" t="s">
        <v>9</v>
      </c>
      <c r="D80" t="s">
        <v>10</v>
      </c>
      <c r="E80">
        <v>407</v>
      </c>
      <c r="F80">
        <v>596.16</v>
      </c>
      <c r="G80">
        <v>113990.23</v>
      </c>
    </row>
    <row r="81" spans="1:7" x14ac:dyDescent="0.3">
      <c r="A81" t="s">
        <v>100</v>
      </c>
      <c r="B81" t="s">
        <v>28</v>
      </c>
      <c r="C81" t="s">
        <v>32</v>
      </c>
      <c r="D81" t="s">
        <v>19</v>
      </c>
      <c r="E81">
        <v>227</v>
      </c>
      <c r="F81">
        <v>854.55</v>
      </c>
      <c r="G81">
        <v>146387.65</v>
      </c>
    </row>
    <row r="82" spans="1:7" x14ac:dyDescent="0.3">
      <c r="A82" t="s">
        <v>101</v>
      </c>
      <c r="B82" t="s">
        <v>28</v>
      </c>
      <c r="C82" t="s">
        <v>32</v>
      </c>
      <c r="D82" t="s">
        <v>25</v>
      </c>
      <c r="E82">
        <v>194</v>
      </c>
      <c r="F82">
        <v>454.72</v>
      </c>
      <c r="G82">
        <v>285495.78000000003</v>
      </c>
    </row>
    <row r="83" spans="1:7" x14ac:dyDescent="0.3">
      <c r="A83" t="s">
        <v>102</v>
      </c>
      <c r="B83" t="s">
        <v>17</v>
      </c>
      <c r="C83" t="s">
        <v>15</v>
      </c>
      <c r="D83" t="s">
        <v>13</v>
      </c>
      <c r="E83">
        <v>58</v>
      </c>
      <c r="F83">
        <v>512.99</v>
      </c>
      <c r="G83">
        <v>197715.93</v>
      </c>
    </row>
    <row r="84" spans="1:7" x14ac:dyDescent="0.3">
      <c r="A84" t="s">
        <v>103</v>
      </c>
      <c r="B84" t="s">
        <v>34</v>
      </c>
      <c r="C84" t="s">
        <v>32</v>
      </c>
      <c r="D84" t="s">
        <v>13</v>
      </c>
      <c r="E84">
        <v>93</v>
      </c>
      <c r="F84">
        <v>831.17</v>
      </c>
      <c r="G84">
        <v>894777.59</v>
      </c>
    </row>
    <row r="85" spans="1:7" x14ac:dyDescent="0.3">
      <c r="A85" t="s">
        <v>104</v>
      </c>
      <c r="B85" t="s">
        <v>17</v>
      </c>
      <c r="C85" t="s">
        <v>9</v>
      </c>
      <c r="D85" t="s">
        <v>19</v>
      </c>
      <c r="E85">
        <v>298</v>
      </c>
      <c r="F85">
        <v>69.86</v>
      </c>
      <c r="G85">
        <v>6959.24</v>
      </c>
    </row>
    <row r="86" spans="1:7" x14ac:dyDescent="0.3">
      <c r="A86" t="s">
        <v>105</v>
      </c>
      <c r="B86" t="s">
        <v>8</v>
      </c>
      <c r="C86" t="s">
        <v>15</v>
      </c>
      <c r="D86" t="s">
        <v>35</v>
      </c>
      <c r="E86">
        <v>63</v>
      </c>
      <c r="F86">
        <v>69.09</v>
      </c>
      <c r="G86">
        <v>383697.86</v>
      </c>
    </row>
    <row r="87" spans="1:7" x14ac:dyDescent="0.3">
      <c r="A87" t="s">
        <v>106</v>
      </c>
      <c r="B87" t="s">
        <v>28</v>
      </c>
      <c r="C87" t="s">
        <v>9</v>
      </c>
      <c r="D87" t="s">
        <v>25</v>
      </c>
      <c r="E87">
        <v>477</v>
      </c>
      <c r="F87">
        <v>464.25</v>
      </c>
      <c r="G87">
        <v>974017.79</v>
      </c>
    </row>
    <row r="88" spans="1:7" x14ac:dyDescent="0.3">
      <c r="A88" t="s">
        <v>107</v>
      </c>
      <c r="B88" t="s">
        <v>28</v>
      </c>
      <c r="C88" t="s">
        <v>9</v>
      </c>
      <c r="D88" t="s">
        <v>25</v>
      </c>
      <c r="E88">
        <v>329</v>
      </c>
      <c r="F88">
        <v>141.28</v>
      </c>
      <c r="G88">
        <v>305291.75</v>
      </c>
    </row>
    <row r="89" spans="1:7" x14ac:dyDescent="0.3">
      <c r="A89" t="s">
        <v>108</v>
      </c>
      <c r="B89" t="s">
        <v>17</v>
      </c>
      <c r="C89" t="s">
        <v>9</v>
      </c>
      <c r="D89" t="s">
        <v>10</v>
      </c>
      <c r="E89">
        <v>390</v>
      </c>
      <c r="F89">
        <v>79.540000000000006</v>
      </c>
      <c r="G89">
        <v>271341.65000000002</v>
      </c>
    </row>
    <row r="90" spans="1:7" x14ac:dyDescent="0.3">
      <c r="A90" t="s">
        <v>109</v>
      </c>
      <c r="B90" t="s">
        <v>12</v>
      </c>
      <c r="C90" t="s">
        <v>9</v>
      </c>
      <c r="D90" t="s">
        <v>35</v>
      </c>
      <c r="E90">
        <v>476</v>
      </c>
      <c r="F90">
        <v>250.03</v>
      </c>
      <c r="G90">
        <v>299541.84999999998</v>
      </c>
    </row>
    <row r="91" spans="1:7" x14ac:dyDescent="0.3">
      <c r="A91" t="s">
        <v>110</v>
      </c>
      <c r="B91" t="s">
        <v>8</v>
      </c>
      <c r="C91" t="s">
        <v>18</v>
      </c>
      <c r="D91" t="s">
        <v>10</v>
      </c>
      <c r="E91">
        <v>165</v>
      </c>
      <c r="F91">
        <v>867.52</v>
      </c>
      <c r="G91">
        <v>699963.74</v>
      </c>
    </row>
    <row r="92" spans="1:7" x14ac:dyDescent="0.3">
      <c r="A92" t="s">
        <v>111</v>
      </c>
      <c r="B92" t="s">
        <v>17</v>
      </c>
      <c r="C92" t="s">
        <v>15</v>
      </c>
      <c r="D92" t="s">
        <v>10</v>
      </c>
      <c r="E92">
        <v>247</v>
      </c>
      <c r="F92">
        <v>353.3</v>
      </c>
      <c r="G92">
        <v>100756.01</v>
      </c>
    </row>
    <row r="93" spans="1:7" x14ac:dyDescent="0.3">
      <c r="A93" t="s">
        <v>112</v>
      </c>
      <c r="B93" t="s">
        <v>28</v>
      </c>
      <c r="C93" t="s">
        <v>21</v>
      </c>
      <c r="D93" t="s">
        <v>25</v>
      </c>
      <c r="E93">
        <v>427</v>
      </c>
      <c r="F93">
        <v>291.02999999999997</v>
      </c>
      <c r="G93">
        <v>982257.62</v>
      </c>
    </row>
    <row r="94" spans="1:7" x14ac:dyDescent="0.3">
      <c r="A94" t="s">
        <v>113</v>
      </c>
      <c r="B94" t="s">
        <v>8</v>
      </c>
      <c r="C94" t="s">
        <v>15</v>
      </c>
      <c r="D94" t="s">
        <v>10</v>
      </c>
      <c r="E94">
        <v>131</v>
      </c>
      <c r="F94">
        <v>463.3</v>
      </c>
      <c r="G94">
        <v>1605.16</v>
      </c>
    </row>
    <row r="95" spans="1:7" x14ac:dyDescent="0.3">
      <c r="A95" t="s">
        <v>114</v>
      </c>
      <c r="B95" t="s">
        <v>34</v>
      </c>
      <c r="C95" t="s">
        <v>21</v>
      </c>
      <c r="D95" t="s">
        <v>10</v>
      </c>
      <c r="E95">
        <v>179</v>
      </c>
      <c r="F95">
        <v>411.89</v>
      </c>
      <c r="G95">
        <v>165632.13</v>
      </c>
    </row>
    <row r="96" spans="1:7" x14ac:dyDescent="0.3">
      <c r="A96" t="s">
        <v>115</v>
      </c>
      <c r="B96" t="s">
        <v>8</v>
      </c>
      <c r="C96" t="s">
        <v>18</v>
      </c>
      <c r="D96" t="s">
        <v>10</v>
      </c>
      <c r="E96">
        <v>168</v>
      </c>
      <c r="F96">
        <v>438.75</v>
      </c>
      <c r="G96">
        <v>392279.89</v>
      </c>
    </row>
    <row r="97" spans="1:7" x14ac:dyDescent="0.3">
      <c r="A97" t="s">
        <v>116</v>
      </c>
      <c r="B97" t="s">
        <v>8</v>
      </c>
      <c r="C97" t="s">
        <v>18</v>
      </c>
      <c r="D97" t="s">
        <v>19</v>
      </c>
      <c r="E97">
        <v>223</v>
      </c>
      <c r="F97">
        <v>567.03</v>
      </c>
      <c r="G97">
        <v>662704.18999999994</v>
      </c>
    </row>
    <row r="98" spans="1:7" x14ac:dyDescent="0.3">
      <c r="A98" t="s">
        <v>117</v>
      </c>
      <c r="B98" t="s">
        <v>34</v>
      </c>
      <c r="C98" t="s">
        <v>18</v>
      </c>
      <c r="D98" t="s">
        <v>13</v>
      </c>
      <c r="E98">
        <v>223</v>
      </c>
      <c r="F98">
        <v>230.36</v>
      </c>
      <c r="G98">
        <v>971463.6</v>
      </c>
    </row>
    <row r="99" spans="1:7" x14ac:dyDescent="0.3">
      <c r="A99" t="s">
        <v>118</v>
      </c>
      <c r="B99" t="s">
        <v>8</v>
      </c>
      <c r="C99" t="s">
        <v>18</v>
      </c>
      <c r="D99" t="s">
        <v>19</v>
      </c>
      <c r="E99">
        <v>56</v>
      </c>
      <c r="F99">
        <v>650.61</v>
      </c>
      <c r="G99">
        <v>342659.15</v>
      </c>
    </row>
    <row r="100" spans="1:7" x14ac:dyDescent="0.3">
      <c r="A100" t="s">
        <v>119</v>
      </c>
      <c r="B100" t="s">
        <v>17</v>
      </c>
      <c r="C100" t="s">
        <v>9</v>
      </c>
      <c r="D100" t="s">
        <v>25</v>
      </c>
      <c r="E100">
        <v>388</v>
      </c>
      <c r="F100">
        <v>429.7</v>
      </c>
      <c r="G100">
        <v>748758.65</v>
      </c>
    </row>
    <row r="101" spans="1:7" x14ac:dyDescent="0.3">
      <c r="A101" t="s">
        <v>120</v>
      </c>
      <c r="B101" t="s">
        <v>34</v>
      </c>
      <c r="C101" t="s">
        <v>21</v>
      </c>
      <c r="D101" t="s">
        <v>35</v>
      </c>
      <c r="E101">
        <v>387</v>
      </c>
      <c r="F101">
        <v>876.06</v>
      </c>
      <c r="G101">
        <v>62711.43</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D4:K21"/>
  <sheetViews>
    <sheetView showGridLines="0" tabSelected="1" zoomScale="98" zoomScaleNormal="98" workbookViewId="0">
      <selection activeCell="S12" sqref="S12"/>
    </sheetView>
  </sheetViews>
  <sheetFormatPr defaultRowHeight="14" x14ac:dyDescent="0.3"/>
  <sheetData>
    <row r="4" ht="61" customHeight="1" x14ac:dyDescent="0.3"/>
    <row r="20" spans="4:11" ht="18" x14ac:dyDescent="0.4">
      <c r="D20" s="4"/>
      <c r="E20" s="4"/>
      <c r="F20" s="4"/>
      <c r="G20" s="4"/>
      <c r="H20" s="4"/>
      <c r="I20" s="4"/>
    </row>
    <row r="21" spans="4:11" ht="20" x14ac:dyDescent="0.4">
      <c r="F21" s="5" t="s">
        <v>125</v>
      </c>
      <c r="G21" s="6"/>
      <c r="H21" s="6"/>
      <c r="I21" s="6"/>
      <c r="J21" s="6"/>
      <c r="K21" s="6"/>
    </row>
  </sheetData>
  <mergeCells count="2">
    <mergeCell ref="D20:I20"/>
    <mergeCell ref="F21:K2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 1</vt:lpstr>
      <vt:lpstr>Pivot Table 2</vt:lpstr>
      <vt:lpstr>Pivot Table 3</vt:lpstr>
      <vt:lpstr>Pivot Table 4</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aonjazibramzan@gmail.com</cp:lastModifiedBy>
  <dcterms:created xsi:type="dcterms:W3CDTF">2024-12-14T09:51:16Z</dcterms:created>
  <dcterms:modified xsi:type="dcterms:W3CDTF">2026-04-21T19:32:34Z</dcterms:modified>
</cp:coreProperties>
</file>